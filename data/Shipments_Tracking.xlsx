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dfabd1cf282aef/zak personal/S.Gate/Logistics/"/>
    </mc:Choice>
  </mc:AlternateContent>
  <xr:revisionPtr revIDLastSave="0" documentId="8_{5DC00450-C132-4F75-ACDE-43CB30E0B7F6}" xr6:coauthVersionLast="47" xr6:coauthVersionMax="47" xr10:uidLastSave="{00000000-0000-0000-0000-000000000000}"/>
  <bookViews>
    <workbookView xWindow="-110" yWindow="-110" windowWidth="19420" windowHeight="10300" xr2:uid="{3D14CD63-3B30-44D3-AFC0-122D143EDE74}"/>
  </bookViews>
  <sheets>
    <sheet name="Raw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Y118" i="2" l="1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M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L106" authorId="0" shapeId="0" xr:uid="{93FB11F8-BC8B-47E1-BE02-1682971B4529}">
      <text>
        <r>
          <rPr>
            <b/>
            <sz val="9"/>
            <color indexed="81"/>
            <rFont val="Tahoma"/>
          </rPr>
          <t>dell:</t>
        </r>
        <r>
          <rPr>
            <sz val="9"/>
            <color indexed="81"/>
            <rFont val="Tahoma"/>
          </rPr>
          <t xml:space="preserve">
4 Machine + 16 ملحقات</t>
        </r>
      </text>
    </comment>
  </commentList>
</comments>
</file>

<file path=xl/sharedStrings.xml><?xml version="1.0" encoding="utf-8"?>
<sst xmlns="http://schemas.openxmlformats.org/spreadsheetml/2006/main" count="2173" uniqueCount="773">
  <si>
    <t>SN</t>
  </si>
  <si>
    <t>Consingnee</t>
  </si>
  <si>
    <t>Import / Export</t>
  </si>
  <si>
    <t>Status</t>
  </si>
  <si>
    <t>Pathway</t>
  </si>
  <si>
    <t>Shipment type</t>
  </si>
  <si>
    <t>ACID</t>
  </si>
  <si>
    <t>InvoiceNo.</t>
  </si>
  <si>
    <t>Invoice Date</t>
  </si>
  <si>
    <t>Content Shipment</t>
  </si>
  <si>
    <t>G.W Weight</t>
  </si>
  <si>
    <t>QTY</t>
  </si>
  <si>
    <t>Invoice Value</t>
  </si>
  <si>
    <t>HS.Code</t>
  </si>
  <si>
    <t>BL.Number</t>
  </si>
  <si>
    <t xml:space="preserve"> Clearance Date</t>
  </si>
  <si>
    <t>Manufacture</t>
  </si>
  <si>
    <t>Estimated Date of Arrival (ETA)</t>
  </si>
  <si>
    <t>Estimated Date of Departure (ETD)</t>
  </si>
  <si>
    <t>Estimated Date of Sailling (ETS)</t>
  </si>
  <si>
    <t>Time in the Sea</t>
  </si>
  <si>
    <t>Remarks</t>
  </si>
  <si>
    <t>Shipping type</t>
  </si>
  <si>
    <t>Supplier</t>
  </si>
  <si>
    <t>Express Shipping</t>
  </si>
  <si>
    <t>freight forwarder</t>
  </si>
  <si>
    <t>Shipping Cost</t>
  </si>
  <si>
    <t>Paid/Shipper</t>
  </si>
  <si>
    <t>Note/Shipper</t>
  </si>
  <si>
    <t>Customs clearance cost</t>
  </si>
  <si>
    <t>Paid/Customs</t>
  </si>
  <si>
    <t>Note/ Customs</t>
  </si>
  <si>
    <t>DOC in Office</t>
  </si>
  <si>
    <t xml:space="preserve">نموذج 4 </t>
  </si>
  <si>
    <t>Notes</t>
  </si>
  <si>
    <t>Al Elmaia</t>
  </si>
  <si>
    <t>Import</t>
  </si>
  <si>
    <t>Delivered</t>
  </si>
  <si>
    <t>From Dubai To Cairo</t>
  </si>
  <si>
    <t>Riton Q50</t>
  </si>
  <si>
    <t>2050854822023060014</t>
  </si>
  <si>
    <t>2 Riton Q50 (D-150)</t>
  </si>
  <si>
    <t>3120 KG</t>
  </si>
  <si>
    <t>133/SEXP/23385</t>
  </si>
  <si>
    <t>FCL</t>
  </si>
  <si>
    <t>Al Bawaba</t>
  </si>
  <si>
    <t>Unknown</t>
  </si>
  <si>
    <t>Yes</t>
  </si>
  <si>
    <t>IN &lt; 2000$</t>
  </si>
  <si>
    <t>Done</t>
  </si>
  <si>
    <t>CoCr Powder</t>
  </si>
  <si>
    <t>-</t>
  </si>
  <si>
    <t>EG006</t>
  </si>
  <si>
    <t>CoCr Powder Bottle</t>
  </si>
  <si>
    <t>11 Kg</t>
  </si>
  <si>
    <t>30 $</t>
  </si>
  <si>
    <t>4836415426</t>
  </si>
  <si>
    <t>Air</t>
  </si>
  <si>
    <t>Sky - DHL</t>
  </si>
  <si>
    <t>Sky</t>
  </si>
  <si>
    <t>EGY0723</t>
  </si>
  <si>
    <t>55 Kg</t>
  </si>
  <si>
    <t>150$</t>
  </si>
  <si>
    <t>3732787295</t>
  </si>
  <si>
    <t>12,847 EGP</t>
  </si>
  <si>
    <t>CoCr Powder - Titanium Powder</t>
  </si>
  <si>
    <t>2050854822023060022</t>
  </si>
  <si>
    <t>EG002</t>
  </si>
  <si>
    <r>
      <t>CoCr Powder Bottle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- 5KG (6 B) - Titanium Powder Bottle - 2.5KG (8 B)</t>
    </r>
  </si>
  <si>
    <t>52.5 KG</t>
  </si>
  <si>
    <t>14 Bottle</t>
  </si>
  <si>
    <t>LCL</t>
  </si>
  <si>
    <t>Need to check</t>
  </si>
  <si>
    <t>ايه رقم البوليصة</t>
  </si>
  <si>
    <t>Launca</t>
  </si>
  <si>
    <t xml:space="preserve"> 2050854822023060030</t>
  </si>
  <si>
    <t>EGY032023</t>
  </si>
  <si>
    <t>Launca: DL-206P - IntraOral Scanners</t>
  </si>
  <si>
    <t>71.78 KG</t>
  </si>
  <si>
    <t>ALX25451995</t>
  </si>
  <si>
    <t>DGL</t>
  </si>
  <si>
    <t>NBE Bank</t>
  </si>
  <si>
    <t>Shining</t>
  </si>
  <si>
    <t xml:space="preserve"> 2050854822023070013</t>
  </si>
  <si>
    <t>EGY042023</t>
  </si>
  <si>
    <t>1 with Wire, 1Without, 3 Pro C, 1 ProH</t>
  </si>
  <si>
    <t>50.7 KG</t>
  </si>
  <si>
    <t>ALX25451996</t>
  </si>
  <si>
    <t>bl = 14 , pl = 50.7</t>
  </si>
  <si>
    <t>2050854822023100018</t>
  </si>
  <si>
    <t>EGY1123</t>
  </si>
  <si>
    <t>8456120000 - 8418692900</t>
  </si>
  <si>
    <t>HLCUDX3231040839</t>
  </si>
  <si>
    <t xml:space="preserve">Global Cargo System </t>
  </si>
  <si>
    <t>بنك التنمية الصناعية</t>
  </si>
  <si>
    <t xml:space="preserve">Titanium Powder - Riton </t>
  </si>
  <si>
    <t>2050854822023110017</t>
  </si>
  <si>
    <t>EGY1223</t>
  </si>
  <si>
    <t xml:space="preserve">Titanium Powder Bottle - 2.5 KG (8 B) </t>
  </si>
  <si>
    <t>24 KG</t>
  </si>
  <si>
    <t>8 Bottle</t>
  </si>
  <si>
    <t>JEA/ALY/CSS/191904</t>
  </si>
  <si>
    <t>Sailed</t>
  </si>
  <si>
    <t>on port said 2-Jan-2024
2- في ميناء اسكندرية ومعاد التفريغ 9 فبراير (28-Jan)   
الاحد 18 فبراير هستلمها -( 11 فبراير)</t>
  </si>
  <si>
    <t>Egyptian Freight Services  - هاني عايد</t>
  </si>
  <si>
    <t>تم المحاسبة عن طريق استاذ هاني</t>
  </si>
  <si>
    <t>Aidite Zirconia Blocks</t>
  </si>
  <si>
    <t>2050854822023100026</t>
  </si>
  <si>
    <t>EGY1023</t>
  </si>
  <si>
    <t xml:space="preserve">Ceramic blocks </t>
  </si>
  <si>
    <t>1779.045 KG</t>
  </si>
  <si>
    <t>152113002893</t>
  </si>
  <si>
    <t xml:space="preserve"> Aidite (Qinhuangdao) Technology Co. Ltd.</t>
  </si>
  <si>
    <t>Hs != BL</t>
  </si>
  <si>
    <t>2050854822023110025</t>
  </si>
  <si>
    <t>EGY1323</t>
  </si>
  <si>
    <t>133.2 KG</t>
  </si>
  <si>
    <t>152113003264</t>
  </si>
  <si>
    <t>Guangdong Launca Medical Device Technology Co., Ltd</t>
  </si>
  <si>
    <t>1-دخولها 6-feb - اسبوع للتفريغ
2-تم التخزين في المينا</t>
  </si>
  <si>
    <t>Import Then Export</t>
  </si>
  <si>
    <t>Deliverd / تم إعادة تصديرها</t>
  </si>
  <si>
    <t xml:space="preserve">Diamond Zirconia Blocks </t>
  </si>
  <si>
    <t>2050854822023120016</t>
  </si>
  <si>
    <t>EGY0823</t>
  </si>
  <si>
    <t>Zirconia &amp; Glass Ceramic</t>
  </si>
  <si>
    <t>809 KG</t>
  </si>
  <si>
    <t>ALYJBL6954 - 152113003355</t>
  </si>
  <si>
    <t>30-45 Days</t>
  </si>
  <si>
    <t>1-Cargo received 20-Dec-2023 at agent warehouse;
Shipment Daimond in the same boat
2-Loaded  - waiting sailing to be confirmed
3- Transit in Greece
3- Still waiting sailing to be confirmed – delayed cause of red sea actions  (1-Jan)
4- will Sail in 18 Jan رأس الرجاء
4- will be loaded in 12 jan ( 11-Jan)
5-وصلت وسيتم عمل لها اعادة صادر</t>
  </si>
  <si>
    <t>Hany</t>
  </si>
  <si>
    <t>No</t>
  </si>
  <si>
    <t>مفيش افراج عشان تم اعادة تصدير + دخلت علي انها ايديت</t>
  </si>
  <si>
    <t>Daimond - Chiller -Tabeo</t>
  </si>
  <si>
    <t>2050854822023120024</t>
  </si>
  <si>
    <t>EGY0830</t>
  </si>
  <si>
    <t>2 Diamond, 2Chiller, 1 Tabeo-1</t>
  </si>
  <si>
    <t>600 KG</t>
  </si>
  <si>
    <t>(Tabeo1-8514390010), (Daimond-8459610000), (Chiller-8418692900)</t>
  </si>
  <si>
    <t>152113003397</t>
  </si>
  <si>
    <t>China,China, Germany</t>
  </si>
  <si>
    <t>Loaded – waiting the terminal yard to open  to updated sailing date (1-Jan)
2- try to load with Aidite (100026) in 12-Jan, if not, will be after a week (11-Jan)
3- will Sail in 18 jan with Aidite ship (14 Jan)رأس الرجاء دخلت علي انها ايديت
4- Transit in Greece</t>
  </si>
  <si>
    <t>CIB Bank</t>
  </si>
  <si>
    <t>Tabeo</t>
  </si>
  <si>
    <t>EGY0829</t>
  </si>
  <si>
    <t>Tabeo1</t>
  </si>
  <si>
    <t>138 KG</t>
  </si>
  <si>
    <t>7758274985</t>
  </si>
  <si>
    <t>Mihm.Vogt</t>
  </si>
  <si>
    <t xml:space="preserve">في الجمارك
تم تقديم طلب لها كعينات كي تدخل كعينات
سيتم الاستلام في مدينة نصر يوم 14 فبراير من 10 صباحا ل 1 </t>
  </si>
  <si>
    <t>Paid : 1264$</t>
  </si>
  <si>
    <t>Sky 18,715</t>
  </si>
  <si>
    <t xml:space="preserve">paid 20K </t>
  </si>
  <si>
    <t>From China To Cairo</t>
  </si>
  <si>
    <t>Zotion</t>
  </si>
  <si>
    <t>ZT20231227</t>
  </si>
  <si>
    <t>1 F2, 1 T20, 1 C5</t>
  </si>
  <si>
    <t>250 KG</t>
  </si>
  <si>
    <t>تم سحب الشحنة وحاليا في الجمارك</t>
  </si>
  <si>
    <t xml:space="preserve">Sky 14,986.33 </t>
  </si>
  <si>
    <t>Paid</t>
  </si>
  <si>
    <t>Alltion</t>
  </si>
  <si>
    <t>SG10010</t>
  </si>
  <si>
    <t>1 AM-2000-Microscope</t>
  </si>
  <si>
    <t>163 KG</t>
  </si>
  <si>
    <t>في الجمارك</t>
  </si>
  <si>
    <t>Sky 21,028</t>
  </si>
  <si>
    <t>Nickle Powder</t>
  </si>
  <si>
    <t>EGY0724</t>
  </si>
  <si>
    <t>Nickle Powder - 50 KG (10 B)</t>
  </si>
  <si>
    <t>55 KG</t>
  </si>
  <si>
    <t>10 Bottle</t>
  </si>
  <si>
    <t>DHL</t>
  </si>
  <si>
    <t>Sky 18,295.68</t>
  </si>
  <si>
    <t>Paid 18,295.68</t>
  </si>
  <si>
    <t>EGY0324</t>
  </si>
  <si>
    <t>Titanum Powder - 40 KG (16 B)</t>
  </si>
  <si>
    <t>45 KG</t>
  </si>
  <si>
    <t>16 Bottle</t>
  </si>
  <si>
    <t>FHS4653</t>
  </si>
  <si>
    <t xml:space="preserve">2 Day </t>
  </si>
  <si>
    <t>Booking 24 Apr</t>
  </si>
  <si>
    <t>Arab Italian for cargo and transport</t>
  </si>
  <si>
    <t>925 $+1,400 EG</t>
  </si>
  <si>
    <t>Paid 22,424.16</t>
  </si>
  <si>
    <t>Export</t>
  </si>
  <si>
    <t>From Cairo To Dubai</t>
  </si>
  <si>
    <t>VHF</t>
  </si>
  <si>
    <t>EGY1224</t>
  </si>
  <si>
    <t>2 E5</t>
  </si>
  <si>
    <t>107 KG</t>
  </si>
  <si>
    <t>776166755657</t>
  </si>
  <si>
    <t>15 Apr'24</t>
  </si>
  <si>
    <t>تم شحنها وارد و إعادة تصدير بسبب الفاتورة الواردة معها مختلفة</t>
  </si>
  <si>
    <t>607 $</t>
  </si>
  <si>
    <t>Sky 69,884</t>
  </si>
  <si>
    <t>69,884 اجمالي التخليص والشحن وارد وصادر</t>
  </si>
  <si>
    <t>FedEx</t>
  </si>
  <si>
    <t>VHF - Broken</t>
  </si>
  <si>
    <t>EGY1124</t>
  </si>
  <si>
    <t>776457645863</t>
  </si>
  <si>
    <t>Pending</t>
  </si>
  <si>
    <t>21 May'24</t>
  </si>
  <si>
    <t>Hs != PL</t>
  </si>
  <si>
    <t>2050854822024030073</t>
  </si>
  <si>
    <t>EGY0424</t>
  </si>
  <si>
    <t>200 Kg Nickle Chrome Powder</t>
  </si>
  <si>
    <t>220 KG</t>
  </si>
  <si>
    <t>40 B</t>
  </si>
  <si>
    <t>JEA/ALY/CSS/194574</t>
  </si>
  <si>
    <t xml:space="preserve">Diamond Zirconium Blocks </t>
  </si>
  <si>
    <t>2050854822024030024</t>
  </si>
  <si>
    <t>EGY0624</t>
  </si>
  <si>
    <t>Diamond Zirconia Blocks</t>
  </si>
  <si>
    <t>468.87 KG</t>
  </si>
  <si>
    <t>JEA/ALY/CSS/194581</t>
  </si>
  <si>
    <t>Aidite (Qinhuangdao) Technology Co. Ltd</t>
  </si>
  <si>
    <t>2050854822024030057</t>
  </si>
  <si>
    <t>EGY0224</t>
  </si>
  <si>
    <t>8 Tabeo1 - 2 Tabeo2</t>
  </si>
  <si>
    <t>734 KG</t>
  </si>
  <si>
    <t>JEA/ALY/CSS/194589</t>
  </si>
  <si>
    <t>Riton SL6-R</t>
  </si>
  <si>
    <t>2050854822024030016</t>
  </si>
  <si>
    <t>EGY0524</t>
  </si>
  <si>
    <t>SL6-R (M-150)</t>
  </si>
  <si>
    <t>1178 KG</t>
  </si>
  <si>
    <t>8465120000 - 8465100000 - 8418692900 - 8487900090 - 8405100000</t>
  </si>
  <si>
    <t>JEA/ALY/CSS/194575</t>
  </si>
  <si>
    <t>2050854822024030040</t>
  </si>
  <si>
    <t>EGY0827</t>
  </si>
  <si>
    <t>4 Wired, 2Wireless, 1 ProH</t>
  </si>
  <si>
    <t>25.85 KG</t>
  </si>
  <si>
    <t>JEA/ALY/CSS/194580</t>
  </si>
  <si>
    <t>Shining 3D Tech Co. Ltd</t>
  </si>
  <si>
    <t>2050854822024030032</t>
  </si>
  <si>
    <t>EGY0826</t>
  </si>
  <si>
    <t>9 Pro C</t>
  </si>
  <si>
    <t>17.55 KG</t>
  </si>
  <si>
    <t>JEA/ALY/CSS/194579</t>
  </si>
  <si>
    <t>2050854822024030081</t>
  </si>
  <si>
    <t>ZT20240211F</t>
  </si>
  <si>
    <t>Zotion (10 F2 , 2 T20D)</t>
  </si>
  <si>
    <t>660 KG</t>
  </si>
  <si>
    <t>WWSE24040613</t>
  </si>
  <si>
    <t>50 Days</t>
  </si>
  <si>
    <t>هذه الشحنة من الصين وشركة زوشن نسقت مع شركة الشحن</t>
  </si>
  <si>
    <t>ZT20240343F</t>
  </si>
  <si>
    <t>Zotion (5 F2 , 5 T20D)</t>
  </si>
  <si>
    <t>616 KG</t>
  </si>
  <si>
    <t>VT240718004</t>
  </si>
  <si>
    <r>
      <t xml:space="preserve">2,975$ +160$ Magnetic Fees + </t>
    </r>
    <r>
      <rPr>
        <b/>
        <sz val="11"/>
        <color rgb="FFFF0000"/>
        <rFont val="Aptos Narrow"/>
        <family val="2"/>
        <scheme val="minor"/>
      </rPr>
      <t>1500 Delivery</t>
    </r>
  </si>
  <si>
    <t>Tamer Farouq</t>
  </si>
  <si>
    <t>13970 Paid to Tamer</t>
  </si>
  <si>
    <t>LargeV</t>
  </si>
  <si>
    <t>SG1001</t>
  </si>
  <si>
    <t>1,CBCT Without 
Cephalometric</t>
  </si>
  <si>
    <t>454 KG</t>
  </si>
  <si>
    <t>FLC5694</t>
  </si>
  <si>
    <t>LargeV Instrument Corporation Limited</t>
  </si>
  <si>
    <t>27626 EGP</t>
  </si>
  <si>
    <t>SKY</t>
  </si>
  <si>
    <t>2050854822024060013</t>
  </si>
  <si>
    <t>EGY0824</t>
  </si>
  <si>
    <t>5 AM-5000-Microscope</t>
  </si>
  <si>
    <t>670 KG</t>
  </si>
  <si>
    <t>119EA02073</t>
  </si>
  <si>
    <t>ALLTION (GUANGXI) INSTRUMENT CO., LTD.</t>
  </si>
  <si>
    <t>One Shipment</t>
  </si>
  <si>
    <t>FCL Al Sokhna Port</t>
  </si>
  <si>
    <t xml:space="preserve"> 2,375 $+ 150$ Transfer Ownership</t>
  </si>
  <si>
    <t>التخليص أ/ هاني</t>
  </si>
  <si>
    <t>Aidite Blocks</t>
  </si>
  <si>
    <t>EGY2824</t>
  </si>
  <si>
    <t>Superfect Zir,Coloring Liqaid</t>
  </si>
  <si>
    <t>1340.5 KG</t>
  </si>
  <si>
    <t>Aidite Machines</t>
  </si>
  <si>
    <t>EGY1024</t>
  </si>
  <si>
    <t>milling machine,CSF-200L sintering furnace,CFP-200 porcelain furnace,Vacumm Cleaner,Air Compressor,Freeze Dryer</t>
  </si>
  <si>
    <t>3.010 KG</t>
  </si>
  <si>
    <t>2050854822024070012</t>
  </si>
  <si>
    <t>SG1003</t>
  </si>
  <si>
    <t>1 with Ceph</t>
  </si>
  <si>
    <t>489 KG</t>
  </si>
  <si>
    <t>SPSJEASOK240174</t>
  </si>
  <si>
    <t>10 : 13 days after departure date</t>
  </si>
  <si>
    <t xml:space="preserve">2,100 $+ 150$ Transfer Ownership + 250$ Collection + Clearance </t>
  </si>
  <si>
    <t>EGY3024</t>
  </si>
  <si>
    <t>1 Pro H, 1 Intraoral Scanner Aoralscan 3 , 1 Intraoral Scanner Aoralscan L (for Exhibition)</t>
  </si>
  <si>
    <t>77.7 KG</t>
  </si>
  <si>
    <t>EGY3624</t>
  </si>
  <si>
    <t>FabWash, Fabcure2.0  (for Exhibition)</t>
  </si>
  <si>
    <t>127.6 KG</t>
  </si>
  <si>
    <t>EGY3524</t>
  </si>
  <si>
    <t>E5 - Milling Machine_ VHF</t>
  </si>
  <si>
    <t>2050854822024080029</t>
  </si>
  <si>
    <t>EGY3724</t>
  </si>
  <si>
    <t>3D Printer AccuFab-CEL + AccuFab-D1S  (for Exhibition)</t>
  </si>
  <si>
    <t>119.4 KG</t>
  </si>
  <si>
    <t>JEA/ALY/CSS/198139</t>
  </si>
  <si>
    <t>LCL Alex</t>
  </si>
  <si>
    <t>150$ +THC1300 EG + Storage fees for 1 week : EGP 1300</t>
  </si>
  <si>
    <t xml:space="preserve"> Hany</t>
  </si>
  <si>
    <t>VHF Spare Parts</t>
  </si>
  <si>
    <t>EGY3824</t>
  </si>
  <si>
    <t>5 KG</t>
  </si>
  <si>
    <t>778119241194</t>
  </si>
  <si>
    <t>Sample</t>
  </si>
  <si>
    <t>Arab Italian for cargo and transport (Fedex)</t>
  </si>
  <si>
    <t>350 USD/ based on 26 Kg - (اخدنا سعر ال 26 ك عشان الابعاد كبيره)</t>
  </si>
  <si>
    <t>Fedex Delivered to Dr. Alaa Office</t>
  </si>
  <si>
    <t>11,000 EG</t>
  </si>
  <si>
    <t xml:space="preserve"> HSCode</t>
  </si>
  <si>
    <t>CoCr Powder - Nickle Powder</t>
  </si>
  <si>
    <t>EGY3924</t>
  </si>
  <si>
    <t>cocr|(wallcolmony) - 5KG (6 B) - Nickle| (Diamond) - 5KG (3 B) + 25KG (5 B)</t>
  </si>
  <si>
    <t>75.5 KG</t>
  </si>
  <si>
    <t>8105200000 - 7504000000</t>
  </si>
  <si>
    <t>0020192</t>
  </si>
  <si>
    <t>710 $ + 60 $ repacking</t>
  </si>
  <si>
    <t>Tamer</t>
  </si>
  <si>
    <t>Yes /11850</t>
  </si>
  <si>
    <t>From Cairo To China</t>
  </si>
  <si>
    <t>Riton Spare Parts</t>
  </si>
  <si>
    <t>Plate - 3 3D printed denture model - Sample</t>
  </si>
  <si>
    <t>315 gm</t>
  </si>
  <si>
    <t>778445295936</t>
  </si>
  <si>
    <t xml:space="preserve"> Sample</t>
  </si>
  <si>
    <t xml:space="preserve">Air </t>
  </si>
  <si>
    <t xml:space="preserve">Guangzhou Riton Additive Technology Co., Ltd </t>
  </si>
  <si>
    <t>Fedex - Hany</t>
  </si>
  <si>
    <t xml:space="preserve">شحن 6,800 - Tamer اتعاب 3,200 </t>
  </si>
  <si>
    <t>Yes/ 10,000</t>
  </si>
  <si>
    <t>no HS Code - No in</t>
  </si>
  <si>
    <t>Zotion Spare Parts</t>
  </si>
  <si>
    <t>DG121617</t>
  </si>
  <si>
    <t>Heating Element</t>
  </si>
  <si>
    <t>1.80 KG</t>
  </si>
  <si>
    <t>279244782172</t>
  </si>
  <si>
    <t>Zotion - Fedex</t>
  </si>
  <si>
    <t>تنسيق شركة الشحن تم من Zotion</t>
  </si>
  <si>
    <t>No Shipping Fees</t>
  </si>
  <si>
    <t>Yes / 4000</t>
  </si>
  <si>
    <t>no HS Code</t>
  </si>
  <si>
    <t>DG120909</t>
  </si>
  <si>
    <t>0.35 KG</t>
  </si>
  <si>
    <t>279068328555</t>
  </si>
  <si>
    <t>Riton- Fedex</t>
  </si>
  <si>
    <t>تنسيق شركة الشحن تم من ريتون</t>
  </si>
  <si>
    <t xml:space="preserve"> Tamer Farouq</t>
  </si>
  <si>
    <t>Yes/ 5000</t>
  </si>
  <si>
    <t xml:space="preserve">Zotion </t>
  </si>
  <si>
    <t>2050854822024090010</t>
  </si>
  <si>
    <t>ZT20240801F</t>
  </si>
  <si>
    <t>11, F2 + 1, T20</t>
  </si>
  <si>
    <t>630 KG</t>
  </si>
  <si>
    <t>T20 8464909000 - 8514199000 F2</t>
  </si>
  <si>
    <t>WSSE24090196</t>
  </si>
  <si>
    <t>هذه الشحنة من الصين وشركة Zotion نسقت مع شركة الشحن</t>
  </si>
  <si>
    <t>CY</t>
  </si>
  <si>
    <t>EGY4224</t>
  </si>
  <si>
    <t>Light curing composite resin, A1,A2,A3</t>
  </si>
  <si>
    <t>57 KG</t>
  </si>
  <si>
    <t>MFS2619</t>
  </si>
  <si>
    <t>Shashati Freight</t>
  </si>
  <si>
    <t>585 $</t>
  </si>
  <si>
    <t>EGY4924</t>
  </si>
  <si>
    <t>100 KG</t>
  </si>
  <si>
    <t>S25500091323</t>
  </si>
  <si>
    <t>Jet Express - Aramex</t>
  </si>
  <si>
    <t>600$</t>
  </si>
  <si>
    <t>tamer</t>
  </si>
  <si>
    <t>From China To Dubai</t>
  </si>
  <si>
    <t>C20250317001EG-1</t>
  </si>
  <si>
    <t>Light curing composite resin (A3,A2, Pro A1,  Pro A2, Pro A3), Self-etch bond</t>
  </si>
  <si>
    <t>195 Kg</t>
  </si>
  <si>
    <t>الفاتورة والباكينج من CY</t>
  </si>
  <si>
    <t>CY International</t>
  </si>
  <si>
    <t>Origin</t>
  </si>
  <si>
    <t>1,202$</t>
  </si>
  <si>
    <t>No Doc</t>
  </si>
  <si>
    <t>Preparing</t>
  </si>
  <si>
    <t>from China to Dubai</t>
  </si>
  <si>
    <t>CY-DG</t>
  </si>
  <si>
    <t>C20250317001EG-2</t>
  </si>
  <si>
    <t xml:space="preserve">8 cartons - Echant gel </t>
  </si>
  <si>
    <t>70 KG</t>
  </si>
  <si>
    <t xml:space="preserve">Ada will Prepare it </t>
  </si>
  <si>
    <t>Ada send the shipment to khaldon</t>
  </si>
  <si>
    <t>Nickle Powder - Diamond</t>
  </si>
  <si>
    <t>EGY4024</t>
  </si>
  <si>
    <t>Nickle Powder - 5KG (20 B)</t>
  </si>
  <si>
    <t>116 KG</t>
  </si>
  <si>
    <t>20 Bottle</t>
  </si>
  <si>
    <t>MFS2446</t>
  </si>
  <si>
    <r>
      <t xml:space="preserve">650$ Air freight &amp; Ex-Work charges +DCAA Approval 95$ +TOO Documents 150 $+Delivery orders : 1850 EGP +14% +Unloading Charges ( Official receipt ) : 263EGP
</t>
    </r>
    <r>
      <rPr>
        <b/>
        <sz val="11"/>
        <color rgb="FFFF0000"/>
        <rFont val="Aptos Narrow"/>
        <family val="2"/>
        <scheme val="minor"/>
      </rPr>
      <t>Total 895 $ + 2372EG</t>
    </r>
  </si>
  <si>
    <t>Yes/ 13,000</t>
  </si>
  <si>
    <t>Riton</t>
  </si>
  <si>
    <t>2050854822024110016</t>
  </si>
  <si>
    <t>EGY4524</t>
  </si>
  <si>
    <t>4 SL6-R(M150) + 1 Q50 D150)</t>
  </si>
  <si>
    <t>6206 KG</t>
  </si>
  <si>
    <t>EPIRAEESAD261057</t>
  </si>
  <si>
    <t>24 Dec'24  arrived 17 dec</t>
  </si>
  <si>
    <t>3,850$  Sea Freight</t>
  </si>
  <si>
    <t>Nickle Powder - Riton</t>
  </si>
  <si>
    <t>2050854822024110032</t>
  </si>
  <si>
    <t>EGY4624</t>
  </si>
  <si>
    <t>Nickle Powder 900 KG</t>
  </si>
  <si>
    <t xml:space="preserve"> 999 KG</t>
  </si>
  <si>
    <t>180 Bottle</t>
  </si>
  <si>
    <t>JEA/ALY/CSS/201139</t>
  </si>
  <si>
    <t>1 Feb 25    (35 Day) - 15 Feb</t>
  </si>
  <si>
    <t>50$</t>
  </si>
  <si>
    <t>تم دفعهم بايصال مجمع</t>
  </si>
  <si>
    <t>EGY4724</t>
  </si>
  <si>
    <t xml:space="preserve">100 Kg Nickle Powder </t>
  </si>
  <si>
    <t>108 KG</t>
  </si>
  <si>
    <t>ARB001194</t>
  </si>
  <si>
    <t>13 Dec'24</t>
  </si>
  <si>
    <t>775 $ + THC + 1000EG Delivery order + 275 $ TOO</t>
  </si>
  <si>
    <t>20,000 تحويل انستا لتامر</t>
  </si>
  <si>
    <t>EGY4824</t>
  </si>
  <si>
    <t>3, Tabeo1     +    1, Tabeo2</t>
  </si>
  <si>
    <t>160 KG</t>
  </si>
  <si>
    <t>8514200090 - 3824100000</t>
  </si>
  <si>
    <t>MFS2502</t>
  </si>
  <si>
    <t>9 Dec'24</t>
  </si>
  <si>
    <t>965$ + 150$ Transfer ownership + Delivery order : 1850 Egp +14% = 2019 EGP  + Unloading Charges ( Official receipt ) = 723 EGP</t>
  </si>
  <si>
    <t>Yes except 15$</t>
  </si>
  <si>
    <t>Nickle Powder - Titanium Powder</t>
  </si>
  <si>
    <t>EGY5024</t>
  </si>
  <si>
    <t>Nickle Powder - 100 KG (20 B) - Titanium - 10 KG (4 B)</t>
  </si>
  <si>
    <t>112 KG</t>
  </si>
  <si>
    <t>24 Bottle</t>
  </si>
  <si>
    <t>7504000000 - 8108200000</t>
  </si>
  <si>
    <t>MFS2516</t>
  </si>
  <si>
    <t>710$ Air Freight + 150$ TOO + DCAA 95$ + Fumigation 65$ + Delivery Order 2,109EG</t>
  </si>
  <si>
    <t>On Dent</t>
  </si>
  <si>
    <t>2050854822024120015</t>
  </si>
  <si>
    <t>EGY5124</t>
  </si>
  <si>
    <t>PMMA DISCS - 663 KG (36 psc)</t>
  </si>
  <si>
    <t>663 KG</t>
  </si>
  <si>
    <t>3926909090 - 3404900090</t>
  </si>
  <si>
    <t>JEA/ALYCSS/201548</t>
  </si>
  <si>
    <t>185$</t>
  </si>
  <si>
    <t>Hany Abdeldayem</t>
  </si>
  <si>
    <t>2050854822025010017</t>
  </si>
  <si>
    <t>EGY5224</t>
  </si>
  <si>
    <t>Nickle Powder - 400 KG (80 B)</t>
  </si>
  <si>
    <t>411.412 KG</t>
  </si>
  <si>
    <t>80 Bottle</t>
  </si>
  <si>
    <t>JEA/ALY/CSS/201549</t>
  </si>
  <si>
    <t>60$</t>
  </si>
  <si>
    <t>Of: 50$ w/m, TOO:120$  - (OF+EX+Too=270$ for 3CBM)</t>
  </si>
  <si>
    <t>EXOCAD</t>
  </si>
  <si>
    <t>EGY5324</t>
  </si>
  <si>
    <t>43 Flash Memory</t>
  </si>
  <si>
    <t>3 KG</t>
  </si>
  <si>
    <t>43 unit</t>
  </si>
  <si>
    <t>Aramex</t>
  </si>
  <si>
    <t>Canceled</t>
  </si>
  <si>
    <t>2050854822025010033</t>
  </si>
  <si>
    <t>EGY5425</t>
  </si>
  <si>
    <t>789.8 Kg</t>
  </si>
  <si>
    <t>EGY5525</t>
  </si>
  <si>
    <t>Nickle Powder - 25 KG (5 B)</t>
  </si>
  <si>
    <t>26 KG</t>
  </si>
  <si>
    <t>5 Bottle</t>
  </si>
  <si>
    <t>771623481699</t>
  </si>
  <si>
    <t>JetExpress - Fedex</t>
  </si>
  <si>
    <t>275$</t>
  </si>
  <si>
    <t>RitonRTM5 Max - Milling Machine</t>
  </si>
  <si>
    <t>C-239848</t>
  </si>
  <si>
    <t>Riton- RTM5 Max</t>
  </si>
  <si>
    <t>1160 KG</t>
  </si>
  <si>
    <t>CBNB2502427</t>
  </si>
  <si>
    <t>:  Guangzhou Riton Additive Technology Co.</t>
  </si>
  <si>
    <t>19 feb'25</t>
  </si>
  <si>
    <t>5060 $ + 4765 EGP</t>
  </si>
  <si>
    <t>Galvanoscope Spare Parts</t>
  </si>
  <si>
    <t>DG131771</t>
  </si>
  <si>
    <t>286040664344</t>
  </si>
  <si>
    <t>Fedex- From China</t>
  </si>
  <si>
    <t>China Sent it</t>
  </si>
  <si>
    <t>EGY5625</t>
  </si>
  <si>
    <t>24 Flash Memory</t>
  </si>
  <si>
    <t>1 KG</t>
  </si>
  <si>
    <t>24 unit</t>
  </si>
  <si>
    <t>DHL - amer</t>
  </si>
  <si>
    <t>EGY5725</t>
  </si>
  <si>
    <t>1 VHF</t>
  </si>
  <si>
    <t>60 KG</t>
  </si>
  <si>
    <t>MFS2570</t>
  </si>
  <si>
    <t>635$ -2850 EG + 297 EG اذن تفريغ</t>
  </si>
  <si>
    <t>ZT20250802</t>
  </si>
  <si>
    <t>2 C5 Series Model E5</t>
  </si>
  <si>
    <t>266 KG</t>
  </si>
  <si>
    <t>CT25041051</t>
  </si>
  <si>
    <t>2850 EGP + 1125 USD</t>
  </si>
  <si>
    <t>ZT20250803</t>
  </si>
  <si>
    <t>2850 EGP + 1215 USD</t>
  </si>
  <si>
    <t>SG1007</t>
  </si>
  <si>
    <t>2 with Ceph</t>
  </si>
  <si>
    <t>966 KG</t>
  </si>
  <si>
    <t>AOF006946</t>
  </si>
  <si>
    <t xml:space="preserve"> LargeV Instrument Corp.Ltd.</t>
  </si>
  <si>
    <t>5425 USD + 2850 EGP</t>
  </si>
  <si>
    <t>C-239849</t>
  </si>
  <si>
    <t>6 AM-2000</t>
  </si>
  <si>
    <t>CT25040854</t>
  </si>
  <si>
    <t>1915 USD + 2850 EGP</t>
  </si>
  <si>
    <t>yes</t>
  </si>
  <si>
    <t>2050854822025040014</t>
  </si>
  <si>
    <t>EGY6025</t>
  </si>
  <si>
    <t>5 SL6-R(M150) + 1 Q50 D150)</t>
  </si>
  <si>
    <t>6660 KG</t>
  </si>
  <si>
    <t>TRLJEAALY9715373</t>
  </si>
  <si>
    <t>FREIGHTAPP FZCO</t>
  </si>
  <si>
    <t>2975$</t>
  </si>
  <si>
    <t>hany</t>
  </si>
  <si>
    <t>Aidite</t>
  </si>
  <si>
    <t>C-239850</t>
  </si>
  <si>
    <t>AMD 500, CMW 400, CSF 200L, CFP 200L, suction, compressor , freeze dryer, desktop scanner</t>
  </si>
  <si>
    <t>980 KG</t>
  </si>
  <si>
    <t>CT25041013</t>
  </si>
  <si>
    <t xml:space="preserve"> AIDITE(QINHUANGDAO) TECHNOLOGY CO.,LTD </t>
  </si>
  <si>
    <t>3815 USD + 2850 EGP</t>
  </si>
  <si>
    <t>Aidite Scanner</t>
  </si>
  <si>
    <t>C-239851</t>
  </si>
  <si>
    <t>4, Rapid3</t>
  </si>
  <si>
    <t>8 KG</t>
  </si>
  <si>
    <t>880-39078211</t>
  </si>
  <si>
    <t>AIDITE(QINHUANGDAO) TECHNOLOGY CO.,LTD</t>
  </si>
  <si>
    <t>915$</t>
  </si>
  <si>
    <t>Not Sure</t>
  </si>
  <si>
    <t>EGY5825</t>
  </si>
  <si>
    <t>34 Flash Memory</t>
  </si>
  <si>
    <t>3 kg</t>
  </si>
  <si>
    <t>170$</t>
  </si>
  <si>
    <t>8175125962330461</t>
  </si>
  <si>
    <t>FREIGHTAPP FZCO-  Fedex</t>
  </si>
  <si>
    <t>325$</t>
  </si>
  <si>
    <t>C-239852</t>
  </si>
  <si>
    <t>SL25060847</t>
  </si>
  <si>
    <t>3975 $ + 180 Inspection</t>
  </si>
  <si>
    <t>Screen (Spare parts for Riton)</t>
  </si>
  <si>
    <t>286935655286</t>
  </si>
  <si>
    <t>Screen</t>
  </si>
  <si>
    <t>3.40 Kg</t>
  </si>
  <si>
    <t>from China</t>
  </si>
  <si>
    <t>Riton Heaters</t>
  </si>
  <si>
    <t>BG467655</t>
  </si>
  <si>
    <t>Heaters</t>
  </si>
  <si>
    <t>17.50 KG</t>
  </si>
  <si>
    <t>288334055794</t>
  </si>
  <si>
    <t>air</t>
  </si>
  <si>
    <t>from China ( Fedex)</t>
  </si>
  <si>
    <t>25930 EGP</t>
  </si>
  <si>
    <t>Jiny Burs</t>
  </si>
  <si>
    <t>DG136005</t>
  </si>
  <si>
    <t>Spare Parts Samples</t>
  </si>
  <si>
    <t>1.18 KG</t>
  </si>
  <si>
    <t>881212864383</t>
  </si>
  <si>
    <t>تم تحويل 1700$ to Jiny</t>
  </si>
  <si>
    <t>Jiny</t>
  </si>
  <si>
    <t>Aidite Burs ( Spare Parts )</t>
  </si>
  <si>
    <t>6185360005</t>
  </si>
  <si>
    <t>Aidite Spare Parts</t>
  </si>
  <si>
    <t>21 Kg</t>
  </si>
  <si>
    <t>1ZB87K166735102761</t>
  </si>
  <si>
    <t>Shashati Freight - UPS</t>
  </si>
  <si>
    <t>650 $</t>
  </si>
  <si>
    <t>2050854822024080011</t>
  </si>
  <si>
    <t>SG1006</t>
  </si>
  <si>
    <t>1 with Ceph, 1 without Ceph</t>
  </si>
  <si>
    <t>974 KG</t>
  </si>
  <si>
    <t>YF14BJ2408013</t>
  </si>
  <si>
    <t>هذه الشحنة من الصين وشركة لارج في نسقت مع شركة الشحن</t>
  </si>
  <si>
    <t>Sea</t>
  </si>
  <si>
    <t>China LargeV</t>
  </si>
  <si>
    <t>أذن تسليم 78,261 EGP</t>
  </si>
  <si>
    <t>SG1008</t>
  </si>
  <si>
    <t>2 without Ceph</t>
  </si>
  <si>
    <t>940 KG</t>
  </si>
  <si>
    <t>SL24102528</t>
  </si>
  <si>
    <t>3950$ +1500 Delivery Order +160$ for Palets</t>
  </si>
  <si>
    <t>SG1002</t>
  </si>
  <si>
    <t>930 KG</t>
  </si>
  <si>
    <t>E25011127</t>
  </si>
  <si>
    <t>4,428 USD  - Delivery Order 2,109 EG - THC 2,238 EG</t>
  </si>
  <si>
    <t>C-239844</t>
  </si>
  <si>
    <t>5,Am-2000, 1,Am-5000</t>
  </si>
  <si>
    <t>855 KG</t>
  </si>
  <si>
    <t>SRA12410040</t>
  </si>
  <si>
    <t>3520 $ + 1,140 Delivery Order +1599 تفريغ بتاع خط الطيران</t>
  </si>
  <si>
    <t>54,000 EG</t>
  </si>
  <si>
    <t>EGY6125</t>
  </si>
  <si>
    <t>2 tabeo-1 , 2 tabeo-2</t>
  </si>
  <si>
    <t>320 KG</t>
  </si>
  <si>
    <t>MFS2594</t>
  </si>
  <si>
    <t>1,125$ - 2850 EG</t>
  </si>
  <si>
    <t>C-239854</t>
  </si>
  <si>
    <t>SL25073819</t>
  </si>
  <si>
    <t>3900 $ +180 inspection</t>
  </si>
  <si>
    <t>Kingcera</t>
  </si>
  <si>
    <t>2050854822025080010</t>
  </si>
  <si>
    <t>C-239860</t>
  </si>
  <si>
    <t>1800  Zirconium for Industrial use</t>
  </si>
  <si>
    <t>852 Kg</t>
  </si>
  <si>
    <t>27222616</t>
  </si>
  <si>
    <t>TT: 35 Days</t>
  </si>
  <si>
    <t>Hunan Qinghao Puzhong Technology Co., Ltd.</t>
  </si>
  <si>
    <t>MESCO</t>
  </si>
  <si>
    <t>repack palletize total cost :USD90 +change label of cartons 70$ +
Ex-works charge  USD 75 /  CBM                   
THC charges: 550 LE / CBM + VAT               
D/O fees is fixed LE.850 + vat                         (Fixed amount 850 L.E )
Storage first week 550 LE / CBM + VAT      
After 30 LE / CBM/ Day + VAT</t>
  </si>
  <si>
    <t>R20252065</t>
  </si>
  <si>
    <t xml:space="preserve">6 SL6-R(M150) </t>
  </si>
  <si>
    <t>BCANC25055712</t>
  </si>
  <si>
    <t>FCL 40Ft</t>
  </si>
  <si>
    <t>2150 $</t>
  </si>
  <si>
    <t>2050854822025090019</t>
  </si>
  <si>
    <r>
      <t xml:space="preserve">PI ZT202540805 - </t>
    </r>
    <r>
      <rPr>
        <b/>
        <sz val="11"/>
        <color rgb="FFFF0000"/>
        <rFont val="Aptos Narrow"/>
        <family val="2"/>
        <scheme val="minor"/>
      </rPr>
      <t>CI ZT20250726</t>
    </r>
  </si>
  <si>
    <t>11 Miling E5   -  11 F2</t>
  </si>
  <si>
    <t>LLLALX25C09734ALX</t>
  </si>
  <si>
    <t>270$</t>
  </si>
  <si>
    <t>2050854822025080028</t>
  </si>
  <si>
    <t>C-239859</t>
  </si>
  <si>
    <t>9 with Ceph</t>
  </si>
  <si>
    <t>CHN2610841 - SZSYH25090027</t>
  </si>
  <si>
    <t>FCL -40Ft</t>
  </si>
  <si>
    <t>3,100$ + 850 EXW= 3,950</t>
  </si>
  <si>
    <t>C-239855</t>
  </si>
  <si>
    <t>966 Kg</t>
  </si>
  <si>
    <t>AE250919001</t>
  </si>
  <si>
    <t>3U Airline</t>
  </si>
  <si>
    <t>4,650$ + 80$ for more pallets</t>
  </si>
  <si>
    <t>3 Kg</t>
  </si>
  <si>
    <t>1Z9806RE0405871145</t>
  </si>
  <si>
    <t>Scientific Gate ( Not العلمية لاجهزة )</t>
  </si>
  <si>
    <t>UPS- From China</t>
  </si>
  <si>
    <t>German To Dubai</t>
  </si>
  <si>
    <t>62 Flash Memory</t>
  </si>
  <si>
    <t>27 Kg</t>
  </si>
  <si>
    <t>392895713364</t>
  </si>
  <si>
    <t xml:space="preserve">exocad GmbH </t>
  </si>
  <si>
    <t>Fedex- From German</t>
  </si>
  <si>
    <t>135 $ for clearance Khaldon</t>
  </si>
  <si>
    <t>H-1-2025-09755</t>
  </si>
  <si>
    <t>1, With Ceph 15*10</t>
  </si>
  <si>
    <t>WSLNBJEA2500551A</t>
  </si>
  <si>
    <t>843$</t>
  </si>
  <si>
    <t>H-1-2025-09756</t>
  </si>
  <si>
    <t>WSLNBJEA2500551B</t>
  </si>
  <si>
    <t>Scientific</t>
  </si>
  <si>
    <t>7168647542025100019</t>
  </si>
  <si>
    <t>EGY6225</t>
  </si>
  <si>
    <t>6 Ritom - M-150</t>
  </si>
  <si>
    <t>119FX03886 - JEAALYCSS209011</t>
  </si>
  <si>
    <t>FCL 20Ft</t>
  </si>
  <si>
    <t xml:space="preserve">  شحن   2705 $ + 453 $ تعديل بيانات البوليصة</t>
  </si>
  <si>
    <t>German To Cairo</t>
  </si>
  <si>
    <t>30 Flash EXOCAD</t>
  </si>
  <si>
    <t>2.3 Kg</t>
  </si>
  <si>
    <t>300 EUR</t>
  </si>
  <si>
    <t>1ZE0508V6793961508</t>
  </si>
  <si>
    <t>UPS- From German</t>
  </si>
  <si>
    <t>Zotion تجربه</t>
  </si>
  <si>
    <t>20250726A</t>
  </si>
  <si>
    <t>2 4Axis Milling machine - 2 F2</t>
  </si>
  <si>
    <t>340 Kg</t>
  </si>
  <si>
    <t>NBA5110186</t>
  </si>
  <si>
    <t>285 USD</t>
  </si>
  <si>
    <t>From Dubai To Syria</t>
  </si>
  <si>
    <t>001-160003</t>
  </si>
  <si>
    <t>3156</t>
  </si>
  <si>
    <t>Land</t>
  </si>
  <si>
    <t>Ajyad</t>
  </si>
  <si>
    <t>1000 $</t>
  </si>
  <si>
    <t>GHU</t>
  </si>
  <si>
    <t>11 5Axis Milling machine</t>
  </si>
  <si>
    <t>25 Kg</t>
  </si>
  <si>
    <t>888007602839</t>
  </si>
  <si>
    <t>BG523997</t>
  </si>
  <si>
    <t>Control panel + T20 Holder + Magnetic Wires (11 units) +	X &amp; Y Organ Covers</t>
  </si>
  <si>
    <t>6.80 Kg</t>
  </si>
  <si>
    <t>20 EUR</t>
  </si>
  <si>
    <t>870577736757</t>
  </si>
  <si>
    <t>Fedex Delivered to Office</t>
  </si>
  <si>
    <t>5061 EGP</t>
  </si>
  <si>
    <t>DCI0246257</t>
  </si>
  <si>
    <t>Screen +contactor</t>
  </si>
  <si>
    <t>53 $</t>
  </si>
  <si>
    <t>2672552444</t>
  </si>
  <si>
    <t>34050 EGP</t>
  </si>
  <si>
    <t>LargeV Spare Parts</t>
  </si>
  <si>
    <t>DCI0262541</t>
  </si>
  <si>
    <t>X ray Tube + Inverter</t>
  </si>
  <si>
    <t>2 Kg</t>
  </si>
  <si>
    <t>11 $</t>
  </si>
  <si>
    <t>1580135373</t>
  </si>
  <si>
    <t>DHL- From China</t>
  </si>
  <si>
    <t>53,250 EG  جمارك واتعاب</t>
  </si>
  <si>
    <t>25 EXOCAD</t>
  </si>
  <si>
    <t>2,6 Kg</t>
  </si>
  <si>
    <t>250 EUR</t>
  </si>
  <si>
    <t>1ZE0508V6793635030</t>
  </si>
  <si>
    <t>31,300 EG جمارك واتعاب</t>
  </si>
  <si>
    <t>Coloring Box</t>
  </si>
  <si>
    <t>Coloring form khaldon to ajyad to syria   3 Caron 59 KG  -  (سلعة القلم 50)</t>
  </si>
  <si>
    <t>59 Kg</t>
  </si>
  <si>
    <t>4 Cartons</t>
  </si>
  <si>
    <t>2605IN086033</t>
  </si>
  <si>
    <t>200 $</t>
  </si>
  <si>
    <t>M-150 - (سلعة القلم 49)  -        Package 6</t>
  </si>
  <si>
    <t>880 Kg</t>
  </si>
  <si>
    <t>1 Machine</t>
  </si>
  <si>
    <t>2,400 $</t>
  </si>
  <si>
    <t>CN</t>
  </si>
  <si>
    <t>Temprature Controller</t>
  </si>
  <si>
    <t>1 Kg</t>
  </si>
  <si>
    <t>100 $</t>
  </si>
  <si>
    <t>1Z1F01E40494317351</t>
  </si>
  <si>
    <t>13,650  (20830 - خصم 7180)</t>
  </si>
  <si>
    <t>لم يتم الدفع</t>
  </si>
  <si>
    <t>82 Spare Parts</t>
  </si>
  <si>
    <t>9,5 Kg</t>
  </si>
  <si>
    <t>82 PCS</t>
  </si>
  <si>
    <t>4,170.78 EUR</t>
  </si>
  <si>
    <t>1ZC511040433883323</t>
  </si>
  <si>
    <t>41,350 EG</t>
  </si>
  <si>
    <t>تم تحويل 15K</t>
  </si>
  <si>
    <t>Cooper Sheet</t>
  </si>
  <si>
    <t>0.500 Kg</t>
  </si>
  <si>
    <t>8509636601</t>
  </si>
  <si>
    <t>Bassem</t>
  </si>
  <si>
    <t>2740392571020710012</t>
  </si>
  <si>
    <t>A-017-26</t>
  </si>
  <si>
    <t>2, (M-150se  - SL6-R)  + 1, ( M-1500 - Q50) +   1, ( DIMS-V2 - Wire Making Machine)</t>
  </si>
  <si>
    <t>275474964</t>
  </si>
  <si>
    <t>طريق العقبة</t>
  </si>
  <si>
    <t>9,400$   -  تم الدفع</t>
  </si>
  <si>
    <t xml:space="preserve"> 7168647541022910016</t>
  </si>
  <si>
    <t>QHK0341-EG-260817-DD002</t>
  </si>
  <si>
    <t>LLLALX26821660ALX</t>
  </si>
  <si>
    <t>HUNAN QINGHAOPUZHONG TECHNOLOGY CO</t>
  </si>
  <si>
    <t xml:space="preserve">285 USD / 3 CBM + D.THC 4,750 EG + VAT + Storage 4750 EGP + VAT </t>
  </si>
  <si>
    <t>PI 20260211  C-239861</t>
  </si>
  <si>
    <t>5,Am-2000 Plus</t>
  </si>
  <si>
    <t>PI 20260122            A2026038</t>
  </si>
  <si>
    <t>PI ZT2026212         ZT2026088</t>
  </si>
  <si>
    <t>20 F2</t>
  </si>
  <si>
    <t>PI ZT2026622</t>
  </si>
  <si>
    <t>23 F2</t>
  </si>
  <si>
    <t>From China To Syria</t>
  </si>
  <si>
    <t>AS-1642026</t>
  </si>
  <si>
    <t>2,Am-2000 Plus</t>
  </si>
  <si>
    <t>PI C-260820    C-260818</t>
  </si>
  <si>
    <t>1, With Ceph 12*10</t>
  </si>
  <si>
    <t>10,000 $</t>
  </si>
  <si>
    <t>PI C-260826  -  C-260820</t>
  </si>
  <si>
    <t>1, Without Ceph 12*10</t>
  </si>
  <si>
    <t>7,500 $</t>
  </si>
  <si>
    <t>PI C-260901 -   C-260830</t>
  </si>
  <si>
    <t>2, With Ceph 12*10</t>
  </si>
  <si>
    <t>20,000 $</t>
  </si>
  <si>
    <t>PI C-260914  C-260840</t>
  </si>
  <si>
    <t>2, Without Ceph 12*10</t>
  </si>
  <si>
    <t>PI C-260925  -  C-260850</t>
  </si>
  <si>
    <t>4, With Ceph 12*10</t>
  </si>
  <si>
    <t>40,000 $</t>
  </si>
  <si>
    <t xml:space="preserve">  PI C-261005  -  C-260860</t>
  </si>
  <si>
    <t>In Transit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</si>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</sst>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"/>
    <numFmt numFmtId="167" formatCode="[$-409]d\-mmm\-yy;@"/>
    <numFmt numFmtId="168" formatCode="[$EGP]\ #,##0"/>
    <numFmt numFmtId="169" formatCode="[$-409]dd\-mmm\-yy;@"/>
    <numFmt numFmtId="170" formatCode="0.0"/>
    <numFmt numFmtId="171" formatCode="0.000"/>
    <numFmt numFmtId="172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  <scheme val="minor"/>
    </font>
    <font>
      <b/>
      <sz val="9"/>
      <color indexed="81"/>
      <name val="Tahoma"/>
    </font>
    <font>
      <sz val="9"/>
      <color indexed="81"/>
      <name val="Tahoma"/>
    </font>
  </fonts>
  <fills count="11">
    <fill>
      <patternFill patternType="none"/>
    </fill>
    <fill>
      <patternFill patternType="gray125"/>
    </fill>
    <fill>
      <patternFill patternType="solid">
        <fgColor rgb="FF1F4D7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CC"/>
        <bgColor indexed="64"/>
      </patternFill>
    </fill>
  </fills>
  <borders count="6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0" fontId="0" fillId="0" borderId="3" xfId="0" applyBorder="1"/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167" fontId="2" fillId="2" borderId="4" xfId="0" applyNumberFormat="1" applyFont="1" applyFill="1" applyBorder="1" applyAlignment="1">
      <alignment horizontal="center"/>
    </xf>
    <xf numFmtId="168" fontId="2" fillId="2" borderId="4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5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166" fontId="5" fillId="0" borderId="3" xfId="0" applyNumberFormat="1" applyFont="1" applyBorder="1" applyAlignment="1">
      <alignment horizontal="center" vertical="center"/>
    </xf>
    <xf numFmtId="167" fontId="5" fillId="0" borderId="3" xfId="0" applyNumberFormat="1" applyFon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" fillId="0" borderId="3" xfId="0" applyFont="1" applyBorder="1" applyAlignment="1">
      <alignment horizontal="center"/>
    </xf>
    <xf numFmtId="167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166" fontId="0" fillId="0" borderId="3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5" fontId="0" fillId="0" borderId="3" xfId="0" applyNumberFormat="1" applyBorder="1" applyAlignment="1">
      <alignment vertic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7" fontId="0" fillId="5" borderId="3" xfId="0" applyNumberFormat="1" applyFill="1" applyBorder="1" applyAlignment="1">
      <alignment horizontal="center"/>
    </xf>
    <xf numFmtId="1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169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wrapText="1"/>
    </xf>
    <xf numFmtId="15" fontId="0" fillId="0" borderId="3" xfId="0" applyNumberFormat="1" applyBorder="1" applyAlignment="1">
      <alignment horizontal="center"/>
    </xf>
    <xf numFmtId="0" fontId="0" fillId="0" borderId="3" xfId="1" applyNumberFormat="1" applyFont="1" applyFill="1" applyBorder="1" applyAlignment="1">
      <alignment horizontal="center"/>
    </xf>
    <xf numFmtId="167" fontId="0" fillId="6" borderId="3" xfId="0" applyNumberForma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vertical="center"/>
    </xf>
    <xf numFmtId="16" fontId="0" fillId="0" borderId="3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1" applyNumberFormat="1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49" fontId="0" fillId="8" borderId="3" xfId="0" applyNumberFormat="1" applyFill="1" applyBorder="1" applyAlignment="1">
      <alignment horizontal="center"/>
    </xf>
    <xf numFmtId="170" fontId="0" fillId="0" borderId="3" xfId="0" applyNumberForma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166" fontId="0" fillId="0" borderId="3" xfId="2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167" fontId="0" fillId="3" borderId="3" xfId="0" applyNumberFormat="1" applyFill="1" applyBorder="1" applyAlignment="1">
      <alignment horizontal="center"/>
    </xf>
    <xf numFmtId="15" fontId="0" fillId="4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49" fontId="0" fillId="6" borderId="3" xfId="0" applyNumberFormat="1" applyFill="1" applyBorder="1" applyAlignment="1">
      <alignment horizontal="center" vertical="center"/>
    </xf>
    <xf numFmtId="15" fontId="0" fillId="6" borderId="3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3" xfId="1" applyNumberFormat="1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167" fontId="0" fillId="6" borderId="3" xfId="0" applyNumberForma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 vertical="center"/>
    </xf>
    <xf numFmtId="15" fontId="0" fillId="6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8" fillId="0" borderId="3" xfId="0" applyFont="1" applyBorder="1"/>
    <xf numFmtId="0" fontId="0" fillId="0" borderId="3" xfId="0" applyBorder="1" applyAlignment="1">
      <alignment horizontal="left"/>
    </xf>
    <xf numFmtId="0" fontId="0" fillId="0" borderId="3" xfId="1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49" fontId="0" fillId="9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172" fontId="0" fillId="0" borderId="3" xfId="1" applyNumberFormat="1" applyFont="1" applyBorder="1" applyAlignment="1">
      <alignment horizontal="center" vertical="center"/>
    </xf>
    <xf numFmtId="171" fontId="0" fillId="0" borderId="3" xfId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29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E9EC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1F4D7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E21587-6CF1-4218-93D6-2ECE8ED7F3F1}" name="Table4" displayName="Table4" ref="A2:AI118" totalsRowShown="0" headerRowDxfId="128" dataDxfId="127" tableBorderDxfId="126">
  <tableColumns count="35">
    <tableColumn id="1" xr3:uid="{871E0946-1D55-4522-8EED-059147BB63B0}" name="SN" dataDxfId="125"/>
    <tableColumn id="42" xr3:uid="{29A99266-08E6-47A3-9B3C-D40BE1B6E664}" name="Consingnee" dataDxfId="124"/>
    <tableColumn id="41" xr3:uid="{E01ED32C-4A8B-406D-8A9F-0068D7CBECE6}" name="Import / Export" dataDxfId="123"/>
    <tableColumn id="2" xr3:uid="{AD82D574-D4E2-4704-8AA4-E8A81065D65E}" name="Status" dataDxfId="122"/>
    <tableColumn id="39" xr3:uid="{6770EC21-E360-4E1A-9278-08944E3A51AB}" name="Pathway" dataDxfId="121"/>
    <tableColumn id="4" xr3:uid="{38E2841C-B96A-4EE9-98B6-82AABF8E508C}" name="Shipment type" dataDxfId="120"/>
    <tableColumn id="5" xr3:uid="{C51FC94A-D223-49DB-8BBA-D7FF4C8862B2}" name="ACID" dataDxfId="119"/>
    <tableColumn id="10" xr3:uid="{B6170089-E048-4457-84FC-FCDD8752CDE5}" name="InvoiceNo." dataDxfId="118"/>
    <tableColumn id="11" xr3:uid="{0A7757D0-4BBB-48EA-9115-E82702DFD244}" name="Invoice Date" dataDxfId="117"/>
    <tableColumn id="12" xr3:uid="{C9965302-8683-448B-9EC7-79A2BF2C7379}" name="Content Shipment" dataDxfId="116"/>
    <tableColumn id="13" xr3:uid="{77757F5C-0D16-4ADF-B9B6-4F29391F1D3F}" name="G.W Weight" dataDxfId="115" dataCellStyle="Comma"/>
    <tableColumn id="14" xr3:uid="{763656A9-1C62-457B-9E16-EE830DC4F399}" name="QTY" dataDxfId="114"/>
    <tableColumn id="15" xr3:uid="{47B43AAB-57AB-44DF-A8C6-D088A41E86F5}" name="Invoice Value" dataDxfId="113"/>
    <tableColumn id="17" xr3:uid="{5EF8CCC5-83AE-434D-9E72-5846799D854F}" name="HS.Code" dataDxfId="112"/>
    <tableColumn id="40" xr3:uid="{28740FED-CD0C-4A19-A5D1-E5FE032954E5}" name="BL.Number" dataDxfId="111"/>
    <tableColumn id="38" xr3:uid="{8D4AC844-6FE1-4483-A321-6FFE11C36786}" name=" Clearance Date" dataDxfId="110"/>
    <tableColumn id="18" xr3:uid="{784B5E70-EF85-4A53-B0B1-A38E8BBFA15C}" name="Manufacture" dataDxfId="109"/>
    <tableColumn id="21" xr3:uid="{DD25004C-7E43-446D-ACA3-5A22BA35564C}" name="Estimated Date of Arrival (ETA)" dataDxfId="108"/>
    <tableColumn id="22" xr3:uid="{AFC14FE0-28A4-46C8-A40F-E5A2036EFCB9}" name="Estimated Date of Departure (ETD)" dataDxfId="107"/>
    <tableColumn id="23" xr3:uid="{40FBF9D8-7F9F-4372-A501-72B9182CA1B4}" name="Estimated Date of Sailling (ETS)" dataDxfId="106"/>
    <tableColumn id="24" xr3:uid="{41D3055D-981A-4BDC-B7F1-82AF240753A4}" name="Time in the Sea" dataDxfId="105"/>
    <tableColumn id="25" xr3:uid="{4A0E462F-56AB-4222-A760-973DDD9F3044}" name="Remarks" dataDxfId="104"/>
    <tableColumn id="26" xr3:uid="{4984D5F6-B41C-4D8E-9E38-4D02FC6E3286}" name="Shipping type" dataDxfId="103"/>
    <tableColumn id="27" xr3:uid="{A8E46B47-1408-4F2E-80A2-469B7EC870B0}" name="Supplier" dataDxfId="102"/>
    <tableColumn id="3" xr3:uid="{58EFD35F-FD0D-4174-A8EE-A190E8BEE560}" name="Express Shipping" dataDxfId="101">
      <calculatedColumnFormula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calculatedColumnFormula>
    </tableColumn>
    <tableColumn id="28" xr3:uid="{9DAD256F-B300-43F7-AA9F-5F224778D2DD}" name="freight forwarder" dataDxfId="100"/>
    <tableColumn id="29" xr3:uid="{A708EB31-C391-485E-948B-23FBE6306299}" name="Shipping Cost" dataDxfId="99"/>
    <tableColumn id="30" xr3:uid="{1B12E466-B79E-403C-A044-862C6C28ACBB}" name="Paid/Shipper" dataDxfId="98"/>
    <tableColumn id="31" xr3:uid="{F87A5675-FBB8-450D-AA4F-8C36DEB540BA}" name="Note/Shipper" dataDxfId="97"/>
    <tableColumn id="32" xr3:uid="{A27875D3-6586-42D8-B96E-DD55A7A08F6E}" name="Customs clearance cost" dataDxfId="96"/>
    <tableColumn id="33" xr3:uid="{8497C549-BB2B-4EF7-8595-85AB0896205F}" name="Paid/Customs" dataDxfId="95"/>
    <tableColumn id="34" xr3:uid="{10AB967F-560C-4954-932E-CCE4777EF414}" name="Note/ Customs" dataDxfId="94"/>
    <tableColumn id="35" xr3:uid="{193A7365-12D3-426D-B756-4ADFF3CA7E9F}" name="DOC in Office" dataDxfId="93"/>
    <tableColumn id="36" xr3:uid="{BF0FB098-4063-4A30-A4A0-2647CE1675FE}" name="نموذج 4 " dataDxfId="92"/>
    <tableColumn id="37" xr3:uid="{5828AE1C-42FE-4E8A-92E6-C9A8E72FB344}" name="Notes" dataDxfId="9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3EC0-3960-4DE6-9406-A2990E8B8502}">
  <sheetPr>
    <tabColor rgb="FF99FF33"/>
  </sheetPr>
  <dimension ref="A1:AL118"/>
  <sheetViews>
    <sheetView showGridLines="0" tabSelected="1" topLeftCell="AA1" zoomScaleNormal="100" workbookViewId="0"/>
  </sheetViews>
  <sheetFormatPr defaultRowHeight="15" customHeight="1" x14ac:dyDescent="0.35"/>
  <cols>
    <col min="1" max="1" width="7.54296875" bestFit="1" customWidth="1"/>
    <col min="2" max="2" width="15" bestFit="1" customWidth="1"/>
    <col min="3" max="3" width="18.54296875" bestFit="1" customWidth="1"/>
    <col min="4" max="4" width="20.90625" bestFit="1" customWidth="1"/>
    <col min="5" max="5" width="18.453125" bestFit="1" customWidth="1"/>
    <col min="6" max="6" width="29.26953125" bestFit="1" customWidth="1"/>
    <col min="7" max="7" width="20.453125" bestFit="1" customWidth="1"/>
    <col min="8" max="8" width="27.7265625" style="1" bestFit="1" customWidth="1"/>
    <col min="9" max="9" width="15.7265625" style="2" bestFit="1" customWidth="1"/>
    <col min="10" max="10" width="99.08984375" style="2" bestFit="1" customWidth="1"/>
    <col min="11" max="11" width="15.453125" style="2" bestFit="1" customWidth="1"/>
    <col min="12" max="12" width="9.453125" style="2" bestFit="1" customWidth="1"/>
    <col min="13" max="13" width="16.453125" bestFit="1" customWidth="1"/>
    <col min="14" max="14" width="58.54296875" bestFit="1" customWidth="1"/>
    <col min="15" max="16" width="27.36328125" style="2" bestFit="1" customWidth="1"/>
    <col min="17" max="17" width="46.90625" style="2" bestFit="1" customWidth="1"/>
    <col min="18" max="19" width="31.6328125" style="2" bestFit="1" customWidth="1"/>
    <col min="20" max="20" width="35" style="2" bestFit="1" customWidth="1"/>
    <col min="21" max="21" width="31.6328125" style="2" bestFit="1" customWidth="1"/>
    <col min="22" max="23" width="43.1796875" style="2" bestFit="1" customWidth="1"/>
    <col min="24" max="24" width="16.6328125" bestFit="1" customWidth="1"/>
    <col min="25" max="25" width="41.36328125" bestFit="1" customWidth="1"/>
    <col min="26" max="26" width="19.36328125" style="2" bestFit="1" customWidth="1"/>
    <col min="27" max="27" width="37.54296875" style="2" bestFit="1" customWidth="1"/>
    <col min="28" max="28" width="16.1796875" bestFit="1" customWidth="1"/>
    <col min="29" max="29" width="22.81640625" bestFit="1" customWidth="1"/>
    <col min="30" max="30" width="29.08984375" style="2" bestFit="1" customWidth="1"/>
    <col min="31" max="31" width="19.6328125" style="2" bestFit="1" customWidth="1"/>
    <col min="32" max="32" width="31.453125" style="2" bestFit="1" customWidth="1"/>
    <col min="33" max="33" width="16.453125" style="2" bestFit="1" customWidth="1"/>
    <col min="34" max="34" width="14.453125" style="2" bestFit="1" customWidth="1"/>
    <col min="35" max="36" width="47.1796875" style="2" bestFit="1" customWidth="1"/>
    <col min="37" max="37" width="15.7265625" bestFit="1" customWidth="1"/>
    <col min="38" max="38" width="49.1796875" bestFit="1" customWidth="1"/>
    <col min="39" max="39" width="15.1796875" bestFit="1" customWidth="1"/>
    <col min="40" max="40" width="16" bestFit="1" customWidth="1"/>
  </cols>
  <sheetData>
    <row r="1" spans="1:38" ht="15" customHeight="1" thickTop="1" x14ac:dyDescent="0.35">
      <c r="M1" s="3">
        <f>SUBTOTAL(9,'Raw Data'!$L$3:$L$34)</f>
        <v>7673</v>
      </c>
      <c r="N1" s="4"/>
      <c r="AK1" s="5"/>
      <c r="AL1" s="5"/>
    </row>
    <row r="2" spans="1:38" ht="15" customHeight="1" x14ac:dyDescent="0.35">
      <c r="A2" s="6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8" t="s">
        <v>14</v>
      </c>
      <c r="P2" s="9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10" t="s">
        <v>29</v>
      </c>
      <c r="AE2" s="7" t="s">
        <v>30</v>
      </c>
      <c r="AF2" s="7" t="s">
        <v>31</v>
      </c>
      <c r="AG2" s="7" t="s">
        <v>32</v>
      </c>
      <c r="AH2" s="11" t="s">
        <v>33</v>
      </c>
      <c r="AI2" s="11" t="s">
        <v>34</v>
      </c>
      <c r="AJ2"/>
    </row>
    <row r="3" spans="1:38" ht="15" customHeight="1" x14ac:dyDescent="0.35">
      <c r="A3" s="12">
        <v>1</v>
      </c>
      <c r="B3" s="12" t="s">
        <v>35</v>
      </c>
      <c r="C3" s="12" t="s">
        <v>36</v>
      </c>
      <c r="D3" s="13" t="s">
        <v>37</v>
      </c>
      <c r="E3" s="12" t="s">
        <v>38</v>
      </c>
      <c r="F3" s="12" t="s">
        <v>39</v>
      </c>
      <c r="G3" s="14" t="s">
        <v>40</v>
      </c>
      <c r="H3" s="12">
        <v>1</v>
      </c>
      <c r="I3" s="15">
        <v>45081</v>
      </c>
      <c r="J3" s="16" t="s">
        <v>41</v>
      </c>
      <c r="K3" s="13" t="s">
        <v>42</v>
      </c>
      <c r="L3" s="12">
        <v>2</v>
      </c>
      <c r="M3" s="17">
        <v>10000</v>
      </c>
      <c r="N3" s="12">
        <v>8456120000</v>
      </c>
      <c r="O3" s="14" t="s">
        <v>43</v>
      </c>
      <c r="P3" s="18">
        <v>45216</v>
      </c>
      <c r="Q3" s="12"/>
      <c r="R3" s="12"/>
      <c r="S3" s="12"/>
      <c r="T3" s="12"/>
      <c r="U3" s="12"/>
      <c r="V3" s="12"/>
      <c r="W3" s="12" t="s">
        <v>44</v>
      </c>
      <c r="X3" s="12" t="s">
        <v>45</v>
      </c>
      <c r="Y3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3" s="12" t="s">
        <v>46</v>
      </c>
      <c r="AA3" s="12"/>
      <c r="AB3" s="13" t="s">
        <v>47</v>
      </c>
      <c r="AC3" s="13"/>
      <c r="AD3" s="19"/>
      <c r="AE3" s="13"/>
      <c r="AF3" s="13"/>
      <c r="AG3" s="13" t="s">
        <v>47</v>
      </c>
      <c r="AH3" s="20" t="s">
        <v>48</v>
      </c>
      <c r="AI3" s="20" t="s">
        <v>49</v>
      </c>
      <c r="AJ3"/>
    </row>
    <row r="4" spans="1:38" ht="15" customHeight="1" x14ac:dyDescent="0.35">
      <c r="A4" s="12">
        <v>2</v>
      </c>
      <c r="B4" s="12" t="s">
        <v>35</v>
      </c>
      <c r="C4" s="12" t="s">
        <v>36</v>
      </c>
      <c r="D4" s="13" t="s">
        <v>37</v>
      </c>
      <c r="E4" s="12" t="s">
        <v>38</v>
      </c>
      <c r="F4" s="12" t="s">
        <v>50</v>
      </c>
      <c r="G4" s="14" t="s">
        <v>51</v>
      </c>
      <c r="H4" s="12" t="s">
        <v>52</v>
      </c>
      <c r="I4" s="15">
        <v>45122</v>
      </c>
      <c r="J4" s="16" t="s">
        <v>53</v>
      </c>
      <c r="K4" s="13" t="s">
        <v>54</v>
      </c>
      <c r="L4" s="12">
        <v>2</v>
      </c>
      <c r="M4" s="17" t="s">
        <v>55</v>
      </c>
      <c r="N4" s="12"/>
      <c r="O4" s="14" t="s">
        <v>56</v>
      </c>
      <c r="P4" s="18">
        <v>45154</v>
      </c>
      <c r="Q4" s="12"/>
      <c r="R4" s="12"/>
      <c r="S4" s="12"/>
      <c r="T4" s="12"/>
      <c r="U4" s="12"/>
      <c r="V4" s="12"/>
      <c r="W4" s="12" t="s">
        <v>57</v>
      </c>
      <c r="X4" s="12" t="s">
        <v>45</v>
      </c>
      <c r="Y4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DHL</v>
      </c>
      <c r="Z4" s="12" t="s">
        <v>58</v>
      </c>
      <c r="AA4" s="12"/>
      <c r="AB4" s="13" t="s">
        <v>47</v>
      </c>
      <c r="AC4" s="13"/>
      <c r="AD4" s="19" t="s">
        <v>59</v>
      </c>
      <c r="AE4" s="13"/>
      <c r="AF4" s="13"/>
      <c r="AG4" s="13"/>
      <c r="AH4" s="20"/>
      <c r="AI4" s="20"/>
      <c r="AJ4"/>
    </row>
    <row r="5" spans="1:38" ht="15" customHeight="1" x14ac:dyDescent="0.35">
      <c r="A5" s="12">
        <v>3</v>
      </c>
      <c r="B5" s="12" t="s">
        <v>35</v>
      </c>
      <c r="C5" s="12" t="s">
        <v>36</v>
      </c>
      <c r="D5" s="13" t="s">
        <v>37</v>
      </c>
      <c r="E5" s="12" t="s">
        <v>38</v>
      </c>
      <c r="F5" s="12" t="s">
        <v>50</v>
      </c>
      <c r="G5" s="14" t="s">
        <v>51</v>
      </c>
      <c r="H5" s="12" t="s">
        <v>60</v>
      </c>
      <c r="I5" s="15">
        <v>45158</v>
      </c>
      <c r="J5" s="16" t="s">
        <v>53</v>
      </c>
      <c r="K5" s="13" t="s">
        <v>61</v>
      </c>
      <c r="L5" s="12">
        <v>10</v>
      </c>
      <c r="M5" s="17" t="s">
        <v>62</v>
      </c>
      <c r="N5" s="12">
        <v>810590000</v>
      </c>
      <c r="O5" s="14" t="s">
        <v>63</v>
      </c>
      <c r="P5" s="18">
        <v>45216</v>
      </c>
      <c r="Q5" s="12"/>
      <c r="R5" s="12"/>
      <c r="S5" s="12"/>
      <c r="T5" s="12"/>
      <c r="U5" s="12"/>
      <c r="V5" s="12"/>
      <c r="W5" s="12" t="s">
        <v>57</v>
      </c>
      <c r="X5" s="12" t="s">
        <v>45</v>
      </c>
      <c r="Y5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DHL</v>
      </c>
      <c r="Z5" s="12" t="s">
        <v>58</v>
      </c>
      <c r="AA5" s="12" t="s">
        <v>64</v>
      </c>
      <c r="AB5" s="13" t="s">
        <v>47</v>
      </c>
      <c r="AC5" s="13"/>
      <c r="AD5" s="19" t="s">
        <v>59</v>
      </c>
      <c r="AE5" s="13"/>
      <c r="AF5" s="13"/>
      <c r="AG5" s="13"/>
      <c r="AH5" s="20"/>
      <c r="AI5" s="20"/>
      <c r="AJ5"/>
    </row>
    <row r="6" spans="1:38" ht="15" customHeight="1" x14ac:dyDescent="0.35">
      <c r="A6" s="12">
        <v>4</v>
      </c>
      <c r="B6" s="12" t="s">
        <v>35</v>
      </c>
      <c r="C6" s="12" t="s">
        <v>36</v>
      </c>
      <c r="D6" s="13" t="s">
        <v>37</v>
      </c>
      <c r="E6" s="12" t="s">
        <v>38</v>
      </c>
      <c r="F6" s="12" t="s">
        <v>65</v>
      </c>
      <c r="G6" s="14" t="s">
        <v>66</v>
      </c>
      <c r="H6" s="12" t="s">
        <v>67</v>
      </c>
      <c r="I6" s="15">
        <v>45092</v>
      </c>
      <c r="J6" s="16" t="s">
        <v>68</v>
      </c>
      <c r="K6" s="21" t="s">
        <v>69</v>
      </c>
      <c r="L6" s="12" t="s">
        <v>70</v>
      </c>
      <c r="M6" s="17">
        <v>180</v>
      </c>
      <c r="N6" s="12">
        <v>81052000</v>
      </c>
      <c r="O6" s="14" t="s">
        <v>51</v>
      </c>
      <c r="P6" s="18">
        <v>45154</v>
      </c>
      <c r="Q6" s="12"/>
      <c r="R6" s="12"/>
      <c r="S6" s="12"/>
      <c r="T6" s="12"/>
      <c r="U6" s="12"/>
      <c r="V6" s="12"/>
      <c r="W6" s="12" t="s">
        <v>71</v>
      </c>
      <c r="X6" s="12" t="s">
        <v>45</v>
      </c>
      <c r="Y6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6" s="12" t="s">
        <v>46</v>
      </c>
      <c r="AA6" s="12"/>
      <c r="AB6" s="13" t="s">
        <v>47</v>
      </c>
      <c r="AC6" s="13"/>
      <c r="AD6" s="19"/>
      <c r="AE6" s="13"/>
      <c r="AF6" s="13"/>
      <c r="AG6" s="13" t="s">
        <v>72</v>
      </c>
      <c r="AH6" s="20" t="s">
        <v>48</v>
      </c>
      <c r="AI6" s="20" t="s">
        <v>73</v>
      </c>
      <c r="AJ6"/>
    </row>
    <row r="7" spans="1:38" ht="15" customHeight="1" x14ac:dyDescent="0.35">
      <c r="A7" s="12">
        <v>5</v>
      </c>
      <c r="B7" s="12" t="s">
        <v>35</v>
      </c>
      <c r="C7" s="12" t="s">
        <v>36</v>
      </c>
      <c r="D7" s="13" t="s">
        <v>37</v>
      </c>
      <c r="E7" s="12" t="s">
        <v>38</v>
      </c>
      <c r="F7" s="12" t="s">
        <v>74</v>
      </c>
      <c r="G7" s="14" t="s">
        <v>75</v>
      </c>
      <c r="H7" s="12" t="s">
        <v>76</v>
      </c>
      <c r="I7" s="15">
        <v>45092</v>
      </c>
      <c r="J7" s="16" t="s">
        <v>77</v>
      </c>
      <c r="K7" s="21" t="s">
        <v>78</v>
      </c>
      <c r="L7" s="12">
        <v>10</v>
      </c>
      <c r="M7" s="17">
        <v>12000</v>
      </c>
      <c r="N7" s="12">
        <v>9018490000</v>
      </c>
      <c r="O7" s="14" t="s">
        <v>79</v>
      </c>
      <c r="P7" s="22">
        <v>45219</v>
      </c>
      <c r="Q7" s="12"/>
      <c r="R7" s="12"/>
      <c r="S7" s="12"/>
      <c r="T7" s="12"/>
      <c r="U7" s="12"/>
      <c r="V7" s="12"/>
      <c r="W7" s="12" t="s">
        <v>71</v>
      </c>
      <c r="X7" s="12" t="s">
        <v>45</v>
      </c>
      <c r="Y7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7" s="23" t="s">
        <v>80</v>
      </c>
      <c r="AA7" s="12"/>
      <c r="AB7" s="13" t="s">
        <v>47</v>
      </c>
      <c r="AC7" s="13"/>
      <c r="AD7" s="19"/>
      <c r="AE7" s="13"/>
      <c r="AF7" s="13"/>
      <c r="AG7" s="13" t="s">
        <v>47</v>
      </c>
      <c r="AH7" s="20" t="s">
        <v>81</v>
      </c>
      <c r="AI7" s="20" t="s">
        <v>49</v>
      </c>
      <c r="AJ7"/>
    </row>
    <row r="8" spans="1:38" ht="15" customHeight="1" x14ac:dyDescent="0.35">
      <c r="A8" s="12">
        <v>6</v>
      </c>
      <c r="B8" s="12" t="s">
        <v>35</v>
      </c>
      <c r="C8" s="12" t="s">
        <v>36</v>
      </c>
      <c r="D8" s="13" t="s">
        <v>37</v>
      </c>
      <c r="E8" s="12" t="s">
        <v>38</v>
      </c>
      <c r="F8" s="12" t="s">
        <v>82</v>
      </c>
      <c r="G8" s="14" t="s">
        <v>83</v>
      </c>
      <c r="H8" s="12" t="s">
        <v>84</v>
      </c>
      <c r="I8" s="15">
        <v>45102</v>
      </c>
      <c r="J8" s="16" t="s">
        <v>85</v>
      </c>
      <c r="K8" s="21" t="s">
        <v>86</v>
      </c>
      <c r="L8" s="12">
        <v>6</v>
      </c>
      <c r="M8" s="17">
        <v>9500</v>
      </c>
      <c r="N8" s="12">
        <v>8471600000</v>
      </c>
      <c r="O8" s="14" t="s">
        <v>87</v>
      </c>
      <c r="P8" s="22">
        <v>45529</v>
      </c>
      <c r="Q8" s="12"/>
      <c r="R8" s="12"/>
      <c r="S8" s="12"/>
      <c r="T8" s="12"/>
      <c r="U8" s="12"/>
      <c r="V8" s="12" t="s">
        <v>88</v>
      </c>
      <c r="W8" s="12" t="s">
        <v>51</v>
      </c>
      <c r="X8" s="12" t="s">
        <v>45</v>
      </c>
      <c r="Y8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8" s="23" t="s">
        <v>80</v>
      </c>
      <c r="AA8" s="12"/>
      <c r="AB8" s="13" t="s">
        <v>47</v>
      </c>
      <c r="AC8" s="13"/>
      <c r="AD8" s="19"/>
      <c r="AE8" s="13"/>
      <c r="AF8" s="13"/>
      <c r="AG8" s="13" t="s">
        <v>47</v>
      </c>
      <c r="AH8" s="20" t="s">
        <v>81</v>
      </c>
      <c r="AI8" s="20">
        <v>-2</v>
      </c>
      <c r="AJ8"/>
    </row>
    <row r="9" spans="1:38" ht="15" customHeight="1" x14ac:dyDescent="0.35">
      <c r="A9" s="12">
        <v>7</v>
      </c>
      <c r="B9" s="12" t="s">
        <v>35</v>
      </c>
      <c r="C9" s="12" t="s">
        <v>36</v>
      </c>
      <c r="D9" s="13" t="s">
        <v>37</v>
      </c>
      <c r="E9" s="12" t="s">
        <v>38</v>
      </c>
      <c r="F9" s="12" t="s">
        <v>39</v>
      </c>
      <c r="G9" s="14" t="s">
        <v>89</v>
      </c>
      <c r="H9" s="12" t="s">
        <v>90</v>
      </c>
      <c r="I9" s="15">
        <v>45215</v>
      </c>
      <c r="J9" s="16" t="s">
        <v>41</v>
      </c>
      <c r="K9" s="21" t="s">
        <v>42</v>
      </c>
      <c r="L9" s="12">
        <v>2</v>
      </c>
      <c r="M9" s="24">
        <v>10000</v>
      </c>
      <c r="N9" s="12" t="s">
        <v>91</v>
      </c>
      <c r="O9" s="14" t="s">
        <v>92</v>
      </c>
      <c r="P9" s="22">
        <v>45260</v>
      </c>
      <c r="Q9" s="12" t="s">
        <v>51</v>
      </c>
      <c r="R9" s="25">
        <v>45245</v>
      </c>
      <c r="S9" s="12"/>
      <c r="T9" s="12"/>
      <c r="U9" s="12"/>
      <c r="V9" s="12"/>
      <c r="W9" s="13" t="s">
        <v>44</v>
      </c>
      <c r="X9" s="12" t="s">
        <v>45</v>
      </c>
      <c r="Y9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9" s="26" t="s">
        <v>93</v>
      </c>
      <c r="AA9" s="12"/>
      <c r="AB9" s="13" t="s">
        <v>47</v>
      </c>
      <c r="AC9" s="13"/>
      <c r="AD9" s="19"/>
      <c r="AE9" s="13"/>
      <c r="AF9" s="13"/>
      <c r="AG9" s="13" t="s">
        <v>47</v>
      </c>
      <c r="AH9" s="20" t="s">
        <v>94</v>
      </c>
      <c r="AI9" s="20" t="s">
        <v>49</v>
      </c>
      <c r="AJ9"/>
    </row>
    <row r="10" spans="1:38" ht="15" customHeight="1" x14ac:dyDescent="0.35">
      <c r="A10" s="12">
        <v>8</v>
      </c>
      <c r="B10" s="12" t="s">
        <v>35</v>
      </c>
      <c r="C10" s="12" t="s">
        <v>36</v>
      </c>
      <c r="D10" s="13" t="s">
        <v>37</v>
      </c>
      <c r="E10" s="12" t="s">
        <v>38</v>
      </c>
      <c r="F10" s="12" t="s">
        <v>95</v>
      </c>
      <c r="G10" s="27" t="s">
        <v>96</v>
      </c>
      <c r="H10" s="13" t="s">
        <v>97</v>
      </c>
      <c r="I10" s="25">
        <v>45243</v>
      </c>
      <c r="J10" s="28" t="s">
        <v>98</v>
      </c>
      <c r="K10" s="20" t="s">
        <v>99</v>
      </c>
      <c r="L10" s="29" t="s">
        <v>100</v>
      </c>
      <c r="M10" s="24">
        <v>120</v>
      </c>
      <c r="N10" s="13">
        <v>8108200000</v>
      </c>
      <c r="O10" s="27" t="s">
        <v>101</v>
      </c>
      <c r="P10" s="22">
        <v>45342</v>
      </c>
      <c r="Q10" s="13" t="s">
        <v>51</v>
      </c>
      <c r="R10" s="25">
        <v>45331</v>
      </c>
      <c r="S10" s="25">
        <v>45275</v>
      </c>
      <c r="T10" s="13" t="s">
        <v>102</v>
      </c>
      <c r="U10" s="13"/>
      <c r="V10" s="30" t="s">
        <v>103</v>
      </c>
      <c r="W10" s="13" t="s">
        <v>71</v>
      </c>
      <c r="X10" s="13" t="s">
        <v>45</v>
      </c>
      <c r="Y10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0" s="13" t="s">
        <v>104</v>
      </c>
      <c r="AA10" s="19">
        <v>13282</v>
      </c>
      <c r="AB10" s="13" t="s">
        <v>47</v>
      </c>
      <c r="AC10" s="13" t="s">
        <v>105</v>
      </c>
      <c r="AD10" s="19">
        <v>6300</v>
      </c>
      <c r="AE10" s="13" t="s">
        <v>47</v>
      </c>
      <c r="AF10" s="13"/>
      <c r="AG10" s="13" t="s">
        <v>47</v>
      </c>
      <c r="AH10" s="20" t="s">
        <v>48</v>
      </c>
      <c r="AI10" s="20" t="s">
        <v>49</v>
      </c>
      <c r="AJ10"/>
    </row>
    <row r="11" spans="1:38" ht="15" customHeight="1" x14ac:dyDescent="0.35">
      <c r="A11" s="12">
        <v>9</v>
      </c>
      <c r="B11" s="12" t="s">
        <v>35</v>
      </c>
      <c r="C11" s="12" t="s">
        <v>36</v>
      </c>
      <c r="D11" s="13" t="s">
        <v>37</v>
      </c>
      <c r="E11" s="12" t="s">
        <v>38</v>
      </c>
      <c r="F11" s="12" t="s">
        <v>106</v>
      </c>
      <c r="G11" s="27" t="s">
        <v>107</v>
      </c>
      <c r="H11" s="13" t="s">
        <v>108</v>
      </c>
      <c r="I11" s="25">
        <v>45217</v>
      </c>
      <c r="J11" s="28" t="s">
        <v>109</v>
      </c>
      <c r="K11" s="20" t="s">
        <v>110</v>
      </c>
      <c r="L11" s="29">
        <v>3770</v>
      </c>
      <c r="M11" s="24">
        <v>25085</v>
      </c>
      <c r="N11" s="13">
        <v>6914900000</v>
      </c>
      <c r="O11" s="27" t="s">
        <v>111</v>
      </c>
      <c r="P11" s="22">
        <v>45288</v>
      </c>
      <c r="Q11" s="13" t="s">
        <v>112</v>
      </c>
      <c r="R11" s="25">
        <v>45243</v>
      </c>
      <c r="S11" s="25"/>
      <c r="T11" s="13"/>
      <c r="U11" s="13"/>
      <c r="V11" s="13"/>
      <c r="W11" s="13" t="s">
        <v>71</v>
      </c>
      <c r="X11" s="13" t="s">
        <v>45</v>
      </c>
      <c r="Y11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1" s="13" t="s">
        <v>93</v>
      </c>
      <c r="AA11" s="13"/>
      <c r="AB11" s="13" t="s">
        <v>47</v>
      </c>
      <c r="AC11" s="13"/>
      <c r="AD11" s="19"/>
      <c r="AE11" s="13"/>
      <c r="AF11" s="13"/>
      <c r="AG11" s="13" t="s">
        <v>47</v>
      </c>
      <c r="AH11" s="20" t="s">
        <v>81</v>
      </c>
      <c r="AI11" s="20" t="s">
        <v>113</v>
      </c>
      <c r="AJ11"/>
    </row>
    <row r="12" spans="1:38" ht="15" customHeight="1" x14ac:dyDescent="0.35">
      <c r="A12" s="12">
        <v>10</v>
      </c>
      <c r="B12" s="12" t="s">
        <v>35</v>
      </c>
      <c r="C12" s="12" t="s">
        <v>36</v>
      </c>
      <c r="D12" s="13" t="s">
        <v>37</v>
      </c>
      <c r="E12" s="12" t="s">
        <v>38</v>
      </c>
      <c r="F12" s="12" t="s">
        <v>74</v>
      </c>
      <c r="G12" s="27" t="s">
        <v>114</v>
      </c>
      <c r="H12" s="13" t="s">
        <v>115</v>
      </c>
      <c r="I12" s="25">
        <v>45256</v>
      </c>
      <c r="J12" s="28" t="s">
        <v>77</v>
      </c>
      <c r="K12" s="20" t="s">
        <v>116</v>
      </c>
      <c r="L12" s="29">
        <v>6</v>
      </c>
      <c r="M12" s="24">
        <v>7200</v>
      </c>
      <c r="N12" s="13">
        <v>9018490000</v>
      </c>
      <c r="O12" s="27" t="s">
        <v>117</v>
      </c>
      <c r="P12" s="22">
        <v>45382</v>
      </c>
      <c r="Q12" s="13" t="s">
        <v>118</v>
      </c>
      <c r="R12" s="25">
        <v>45324</v>
      </c>
      <c r="S12" s="25">
        <v>45280</v>
      </c>
      <c r="T12" s="13" t="s">
        <v>102</v>
      </c>
      <c r="U12" s="13"/>
      <c r="V12" s="30" t="s">
        <v>119</v>
      </c>
      <c r="W12" s="13" t="s">
        <v>71</v>
      </c>
      <c r="X12" s="13" t="s">
        <v>45</v>
      </c>
      <c r="Y12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2" s="13" t="s">
        <v>93</v>
      </c>
      <c r="AA12" s="24">
        <v>45</v>
      </c>
      <c r="AB12" s="13" t="s">
        <v>47</v>
      </c>
      <c r="AC12" s="13"/>
      <c r="AD12" s="19"/>
      <c r="AE12" s="13"/>
      <c r="AF12" s="13"/>
      <c r="AG12" s="13" t="s">
        <v>47</v>
      </c>
      <c r="AH12" s="20" t="s">
        <v>81</v>
      </c>
      <c r="AI12" s="20" t="s">
        <v>49</v>
      </c>
      <c r="AJ12"/>
    </row>
    <row r="13" spans="1:38" ht="15" customHeight="1" x14ac:dyDescent="0.35">
      <c r="A13" s="12">
        <v>11</v>
      </c>
      <c r="B13" s="12" t="s">
        <v>35</v>
      </c>
      <c r="C13" s="12" t="s">
        <v>120</v>
      </c>
      <c r="D13" s="13" t="s">
        <v>121</v>
      </c>
      <c r="E13" s="12" t="s">
        <v>51</v>
      </c>
      <c r="F13" s="13" t="s">
        <v>122</v>
      </c>
      <c r="G13" s="27" t="s">
        <v>123</v>
      </c>
      <c r="H13" s="13" t="s">
        <v>124</v>
      </c>
      <c r="I13" s="25">
        <v>45267</v>
      </c>
      <c r="J13" s="28" t="s">
        <v>125</v>
      </c>
      <c r="K13" s="20" t="s">
        <v>126</v>
      </c>
      <c r="L13" s="29">
        <v>2800</v>
      </c>
      <c r="M13" s="24">
        <v>16610</v>
      </c>
      <c r="N13" s="13">
        <v>3006400010</v>
      </c>
      <c r="O13" s="27" t="s">
        <v>127</v>
      </c>
      <c r="P13" s="31">
        <v>45327</v>
      </c>
      <c r="Q13" s="13" t="s">
        <v>112</v>
      </c>
      <c r="R13" s="25">
        <v>45359</v>
      </c>
      <c r="S13" s="25">
        <v>45312</v>
      </c>
      <c r="T13" s="13" t="s">
        <v>102</v>
      </c>
      <c r="U13" s="32" t="s">
        <v>128</v>
      </c>
      <c r="V13" s="30" t="s">
        <v>129</v>
      </c>
      <c r="W13" s="12" t="s">
        <v>71</v>
      </c>
      <c r="X13" s="13" t="s">
        <v>45</v>
      </c>
      <c r="Y13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3" s="13" t="s">
        <v>93</v>
      </c>
      <c r="AA13" s="24">
        <v>90</v>
      </c>
      <c r="AB13" s="13" t="s">
        <v>47</v>
      </c>
      <c r="AC13" s="13"/>
      <c r="AD13" s="19" t="s">
        <v>130</v>
      </c>
      <c r="AE13" s="13"/>
      <c r="AF13" s="13"/>
      <c r="AG13" s="13" t="s">
        <v>131</v>
      </c>
      <c r="AH13" s="20" t="s">
        <v>51</v>
      </c>
      <c r="AI13" s="20" t="s">
        <v>132</v>
      </c>
      <c r="AJ13"/>
    </row>
    <row r="14" spans="1:38" ht="15" customHeight="1" x14ac:dyDescent="0.35">
      <c r="A14" s="12">
        <v>12</v>
      </c>
      <c r="B14" s="12" t="s">
        <v>35</v>
      </c>
      <c r="C14" s="12" t="s">
        <v>36</v>
      </c>
      <c r="D14" s="13" t="s">
        <v>37</v>
      </c>
      <c r="E14" s="12" t="s">
        <v>38</v>
      </c>
      <c r="F14" s="12" t="s">
        <v>133</v>
      </c>
      <c r="G14" s="27" t="s">
        <v>134</v>
      </c>
      <c r="H14" s="13" t="s">
        <v>135</v>
      </c>
      <c r="I14" s="25">
        <v>45267</v>
      </c>
      <c r="J14" s="28" t="s">
        <v>136</v>
      </c>
      <c r="K14" s="20" t="s">
        <v>137</v>
      </c>
      <c r="L14" s="29">
        <v>5</v>
      </c>
      <c r="M14" s="24">
        <v>3400</v>
      </c>
      <c r="N14" s="13" t="s">
        <v>138</v>
      </c>
      <c r="O14" s="27" t="s">
        <v>139</v>
      </c>
      <c r="P14" s="22">
        <v>45386</v>
      </c>
      <c r="Q14" s="13" t="s">
        <v>140</v>
      </c>
      <c r="R14" s="25">
        <v>45359</v>
      </c>
      <c r="S14" s="25">
        <v>45312</v>
      </c>
      <c r="T14" s="13" t="s">
        <v>102</v>
      </c>
      <c r="U14" s="32" t="s">
        <v>128</v>
      </c>
      <c r="V14" s="30" t="s">
        <v>141</v>
      </c>
      <c r="W14" s="13" t="s">
        <v>71</v>
      </c>
      <c r="X14" s="13" t="s">
        <v>45</v>
      </c>
      <c r="Y14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4" s="13" t="s">
        <v>93</v>
      </c>
      <c r="AA14" s="24">
        <v>135</v>
      </c>
      <c r="AB14" s="13" t="s">
        <v>47</v>
      </c>
      <c r="AC14" s="13"/>
      <c r="AD14" s="19"/>
      <c r="AE14" s="13"/>
      <c r="AF14" s="13"/>
      <c r="AG14" s="13" t="s">
        <v>47</v>
      </c>
      <c r="AH14" s="20" t="s">
        <v>142</v>
      </c>
      <c r="AI14" s="20" t="s">
        <v>49</v>
      </c>
      <c r="AJ14"/>
    </row>
    <row r="15" spans="1:38" ht="15" customHeight="1" x14ac:dyDescent="0.35">
      <c r="A15" s="12">
        <v>13</v>
      </c>
      <c r="B15" s="12" t="s">
        <v>35</v>
      </c>
      <c r="C15" s="12" t="s">
        <v>36</v>
      </c>
      <c r="D15" s="13" t="s">
        <v>37</v>
      </c>
      <c r="E15" s="12" t="s">
        <v>38</v>
      </c>
      <c r="F15" s="12" t="s">
        <v>143</v>
      </c>
      <c r="G15" s="27" t="s">
        <v>51</v>
      </c>
      <c r="H15" s="13" t="s">
        <v>144</v>
      </c>
      <c r="I15" s="25">
        <v>45307</v>
      </c>
      <c r="J15" s="33" t="s">
        <v>145</v>
      </c>
      <c r="K15" s="20" t="s">
        <v>146</v>
      </c>
      <c r="L15" s="29">
        <v>2</v>
      </c>
      <c r="M15" s="24">
        <v>1400</v>
      </c>
      <c r="N15" s="13">
        <v>8514190090</v>
      </c>
      <c r="O15" s="27" t="s">
        <v>147</v>
      </c>
      <c r="P15" s="22">
        <v>45335</v>
      </c>
      <c r="Q15" s="13" t="s">
        <v>148</v>
      </c>
      <c r="R15" s="25">
        <v>45319</v>
      </c>
      <c r="S15" s="25">
        <v>45319</v>
      </c>
      <c r="T15" s="13"/>
      <c r="U15" s="13"/>
      <c r="V15" s="30" t="s">
        <v>149</v>
      </c>
      <c r="W15" s="13" t="s">
        <v>57</v>
      </c>
      <c r="X15" s="13" t="s">
        <v>45</v>
      </c>
      <c r="Y15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5" s="13" t="s">
        <v>93</v>
      </c>
      <c r="AA15" s="24">
        <v>1264</v>
      </c>
      <c r="AB15" s="13" t="s">
        <v>47</v>
      </c>
      <c r="AC15" s="13" t="s">
        <v>150</v>
      </c>
      <c r="AD15" s="19" t="s">
        <v>151</v>
      </c>
      <c r="AE15" s="19" t="s">
        <v>47</v>
      </c>
      <c r="AF15" s="13" t="s">
        <v>152</v>
      </c>
      <c r="AG15" s="13" t="s">
        <v>47</v>
      </c>
      <c r="AH15" s="20" t="s">
        <v>81</v>
      </c>
      <c r="AI15" s="20" t="s">
        <v>49</v>
      </c>
      <c r="AJ15"/>
    </row>
    <row r="16" spans="1:38" ht="15" customHeight="1" x14ac:dyDescent="0.35">
      <c r="A16" s="12">
        <v>14</v>
      </c>
      <c r="B16" s="12" t="s">
        <v>35</v>
      </c>
      <c r="C16" s="12" t="s">
        <v>36</v>
      </c>
      <c r="D16" s="13" t="s">
        <v>37</v>
      </c>
      <c r="E16" s="12" t="s">
        <v>153</v>
      </c>
      <c r="F16" s="12" t="s">
        <v>154</v>
      </c>
      <c r="G16" s="27" t="s">
        <v>51</v>
      </c>
      <c r="H16" s="13" t="s">
        <v>155</v>
      </c>
      <c r="I16" s="25">
        <v>45310</v>
      </c>
      <c r="J16" s="33" t="s">
        <v>156</v>
      </c>
      <c r="K16" s="20" t="s">
        <v>157</v>
      </c>
      <c r="L16" s="29">
        <v>3</v>
      </c>
      <c r="M16" s="24">
        <v>9150</v>
      </c>
      <c r="N16" s="13">
        <v>9018909900</v>
      </c>
      <c r="O16" s="27">
        <v>87613430502</v>
      </c>
      <c r="P16" s="22">
        <v>45377</v>
      </c>
      <c r="Q16" s="13"/>
      <c r="R16" s="25">
        <v>45334</v>
      </c>
      <c r="S16" s="25">
        <v>45332</v>
      </c>
      <c r="T16" s="13"/>
      <c r="U16" s="13"/>
      <c r="V16" s="13" t="s">
        <v>158</v>
      </c>
      <c r="W16" s="13" t="s">
        <v>57</v>
      </c>
      <c r="X16" s="13" t="s">
        <v>154</v>
      </c>
      <c r="Y16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6" s="13" t="s">
        <v>93</v>
      </c>
      <c r="AA16" s="24">
        <v>1313</v>
      </c>
      <c r="AB16" s="13" t="s">
        <v>47</v>
      </c>
      <c r="AC16" s="13"/>
      <c r="AD16" s="19" t="s">
        <v>159</v>
      </c>
      <c r="AE16" s="19" t="s">
        <v>47</v>
      </c>
      <c r="AF16" s="13" t="s">
        <v>160</v>
      </c>
      <c r="AG16" s="13" t="s">
        <v>47</v>
      </c>
      <c r="AH16" s="20" t="s">
        <v>142</v>
      </c>
      <c r="AI16" s="20" t="s">
        <v>49</v>
      </c>
      <c r="AJ16"/>
    </row>
    <row r="17" spans="1:36" ht="15" customHeight="1" x14ac:dyDescent="0.35">
      <c r="A17" s="12">
        <v>15</v>
      </c>
      <c r="B17" s="12" t="s">
        <v>35</v>
      </c>
      <c r="C17" s="12" t="s">
        <v>36</v>
      </c>
      <c r="D17" s="13" t="s">
        <v>37</v>
      </c>
      <c r="E17" s="12" t="s">
        <v>153</v>
      </c>
      <c r="F17" s="12" t="s">
        <v>161</v>
      </c>
      <c r="G17" s="27" t="s">
        <v>51</v>
      </c>
      <c r="H17" s="13" t="s">
        <v>162</v>
      </c>
      <c r="I17" s="25">
        <v>45645</v>
      </c>
      <c r="J17" s="33" t="s">
        <v>163</v>
      </c>
      <c r="K17" s="20" t="s">
        <v>164</v>
      </c>
      <c r="L17" s="29">
        <v>1</v>
      </c>
      <c r="M17" s="24">
        <v>2000</v>
      </c>
      <c r="N17" s="13">
        <v>9011800010</v>
      </c>
      <c r="O17" s="27">
        <v>87613422426</v>
      </c>
      <c r="P17" s="22">
        <v>45342</v>
      </c>
      <c r="Q17" s="13"/>
      <c r="R17" s="13"/>
      <c r="S17" s="25">
        <v>45322</v>
      </c>
      <c r="T17" s="13"/>
      <c r="U17" s="13"/>
      <c r="V17" s="30" t="s">
        <v>165</v>
      </c>
      <c r="W17" s="13" t="s">
        <v>57</v>
      </c>
      <c r="X17" s="13" t="s">
        <v>161</v>
      </c>
      <c r="Y17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7" s="13" t="s">
        <v>93</v>
      </c>
      <c r="AA17" s="24">
        <v>937</v>
      </c>
      <c r="AB17" s="13" t="s">
        <v>47</v>
      </c>
      <c r="AC17" s="13"/>
      <c r="AD17" s="19" t="s">
        <v>166</v>
      </c>
      <c r="AE17" s="19" t="s">
        <v>47</v>
      </c>
      <c r="AF17" s="13">
        <v>19743</v>
      </c>
      <c r="AG17" s="13" t="s">
        <v>47</v>
      </c>
      <c r="AH17" s="20" t="s">
        <v>81</v>
      </c>
      <c r="AI17" s="20" t="s">
        <v>49</v>
      </c>
      <c r="AJ17"/>
    </row>
    <row r="18" spans="1:36" ht="15" customHeight="1" x14ac:dyDescent="0.35">
      <c r="A18" s="12">
        <v>16</v>
      </c>
      <c r="B18" s="12" t="s">
        <v>35</v>
      </c>
      <c r="C18" s="12" t="s">
        <v>36</v>
      </c>
      <c r="D18" s="13" t="s">
        <v>37</v>
      </c>
      <c r="E18" s="12" t="s">
        <v>38</v>
      </c>
      <c r="F18" s="12" t="s">
        <v>167</v>
      </c>
      <c r="G18" s="27" t="s">
        <v>51</v>
      </c>
      <c r="H18" s="13" t="s">
        <v>168</v>
      </c>
      <c r="I18" s="25">
        <v>45352</v>
      </c>
      <c r="J18" s="33" t="s">
        <v>169</v>
      </c>
      <c r="K18" s="20" t="s">
        <v>170</v>
      </c>
      <c r="L18" s="29" t="s">
        <v>171</v>
      </c>
      <c r="M18" s="24">
        <v>500</v>
      </c>
      <c r="N18" s="13">
        <v>7504000000</v>
      </c>
      <c r="O18" s="27">
        <v>3311289144</v>
      </c>
      <c r="P18" s="22">
        <v>45378</v>
      </c>
      <c r="Q18" s="13"/>
      <c r="R18" s="25">
        <v>45363</v>
      </c>
      <c r="S18" s="25"/>
      <c r="T18" s="13"/>
      <c r="U18" s="13"/>
      <c r="V18" s="30" t="s">
        <v>165</v>
      </c>
      <c r="W18" s="13" t="s">
        <v>57</v>
      </c>
      <c r="X18" s="13" t="s">
        <v>45</v>
      </c>
      <c r="Y18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DHL</v>
      </c>
      <c r="Z18" s="13" t="s">
        <v>172</v>
      </c>
      <c r="AA18" s="24"/>
      <c r="AB18" s="13" t="s">
        <v>47</v>
      </c>
      <c r="AC18" s="13"/>
      <c r="AD18" s="19" t="s">
        <v>173</v>
      </c>
      <c r="AE18" s="19" t="s">
        <v>47</v>
      </c>
      <c r="AF18" s="13" t="s">
        <v>174</v>
      </c>
      <c r="AG18" s="13" t="s">
        <v>47</v>
      </c>
      <c r="AH18" s="20" t="s">
        <v>48</v>
      </c>
      <c r="AI18" s="20" t="s">
        <v>49</v>
      </c>
      <c r="AJ18"/>
    </row>
    <row r="19" spans="1:36" ht="15" customHeight="1" x14ac:dyDescent="0.35">
      <c r="A19" s="12">
        <v>17</v>
      </c>
      <c r="B19" s="12" t="s">
        <v>35</v>
      </c>
      <c r="C19" s="12" t="s">
        <v>36</v>
      </c>
      <c r="D19" s="13" t="s">
        <v>37</v>
      </c>
      <c r="E19" s="12" t="s">
        <v>38</v>
      </c>
      <c r="F19" s="12" t="s">
        <v>95</v>
      </c>
      <c r="G19" s="27" t="s">
        <v>51</v>
      </c>
      <c r="H19" s="13" t="s">
        <v>175</v>
      </c>
      <c r="I19" s="25">
        <v>45323</v>
      </c>
      <c r="J19" s="33" t="s">
        <v>176</v>
      </c>
      <c r="K19" s="20" t="s">
        <v>177</v>
      </c>
      <c r="L19" s="29" t="s">
        <v>178</v>
      </c>
      <c r="M19" s="24">
        <v>240</v>
      </c>
      <c r="N19" s="13">
        <v>8105200000</v>
      </c>
      <c r="O19" s="27" t="s">
        <v>179</v>
      </c>
      <c r="P19" s="22">
        <v>45431</v>
      </c>
      <c r="Q19" s="13"/>
      <c r="R19" s="25">
        <v>45408</v>
      </c>
      <c r="S19" s="25">
        <v>45406</v>
      </c>
      <c r="T19" s="25">
        <v>45406</v>
      </c>
      <c r="U19" s="13" t="s">
        <v>180</v>
      </c>
      <c r="V19" s="13" t="s">
        <v>181</v>
      </c>
      <c r="W19" s="13" t="s">
        <v>57</v>
      </c>
      <c r="X19" s="13" t="s">
        <v>45</v>
      </c>
      <c r="Y19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9" s="13" t="s">
        <v>182</v>
      </c>
      <c r="AA19" s="13" t="s">
        <v>183</v>
      </c>
      <c r="AB19" s="13" t="s">
        <v>47</v>
      </c>
      <c r="AC19" s="13"/>
      <c r="AD19" s="19" t="s">
        <v>59</v>
      </c>
      <c r="AE19" s="13" t="s">
        <v>47</v>
      </c>
      <c r="AF19" s="13" t="s">
        <v>184</v>
      </c>
      <c r="AG19" s="13" t="s">
        <v>47</v>
      </c>
      <c r="AH19" s="20" t="s">
        <v>48</v>
      </c>
      <c r="AI19" s="20" t="s">
        <v>49</v>
      </c>
      <c r="AJ19"/>
    </row>
    <row r="20" spans="1:36" ht="15" customHeight="1" x14ac:dyDescent="0.35">
      <c r="A20" s="12">
        <v>18</v>
      </c>
      <c r="B20" s="12" t="s">
        <v>35</v>
      </c>
      <c r="C20" s="12" t="s">
        <v>185</v>
      </c>
      <c r="D20" s="25" t="s">
        <v>121</v>
      </c>
      <c r="E20" s="15" t="s">
        <v>186</v>
      </c>
      <c r="F20" s="13" t="s">
        <v>187</v>
      </c>
      <c r="G20" s="27" t="s">
        <v>51</v>
      </c>
      <c r="H20" s="13" t="s">
        <v>188</v>
      </c>
      <c r="I20" s="34">
        <v>45385</v>
      </c>
      <c r="J20" s="33" t="s">
        <v>189</v>
      </c>
      <c r="K20" s="20" t="s">
        <v>190</v>
      </c>
      <c r="L20" s="29">
        <v>2</v>
      </c>
      <c r="M20" s="24">
        <v>1600</v>
      </c>
      <c r="N20" s="13">
        <v>9018410000</v>
      </c>
      <c r="O20" s="27" t="s">
        <v>191</v>
      </c>
      <c r="P20" s="31">
        <v>45154</v>
      </c>
      <c r="Q20" s="13" t="s">
        <v>187</v>
      </c>
      <c r="R20" s="25">
        <v>45405</v>
      </c>
      <c r="S20" s="25" t="s">
        <v>192</v>
      </c>
      <c r="T20" s="25" t="s">
        <v>51</v>
      </c>
      <c r="U20" s="25" t="s">
        <v>51</v>
      </c>
      <c r="V20" s="25" t="s">
        <v>193</v>
      </c>
      <c r="W20" s="13" t="s">
        <v>57</v>
      </c>
      <c r="X20" s="13" t="s">
        <v>45</v>
      </c>
      <c r="Y20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20" s="13" t="s">
        <v>59</v>
      </c>
      <c r="AA20" s="13" t="s">
        <v>194</v>
      </c>
      <c r="AB20" s="13" t="s">
        <v>47</v>
      </c>
      <c r="AC20" s="13" t="s">
        <v>51</v>
      </c>
      <c r="AD20" s="19" t="s">
        <v>195</v>
      </c>
      <c r="AE20" s="13" t="s">
        <v>47</v>
      </c>
      <c r="AF20" s="13" t="s">
        <v>196</v>
      </c>
      <c r="AG20" s="13" t="s">
        <v>47</v>
      </c>
      <c r="AH20" s="20" t="s">
        <v>48</v>
      </c>
      <c r="AI20" s="20" t="s">
        <v>197</v>
      </c>
      <c r="AJ20"/>
    </row>
    <row r="21" spans="1:36" ht="15" customHeight="1" x14ac:dyDescent="0.35">
      <c r="A21" s="12">
        <v>19</v>
      </c>
      <c r="B21" s="12" t="s">
        <v>35</v>
      </c>
      <c r="C21" s="12" t="s">
        <v>36</v>
      </c>
      <c r="D21" s="13" t="s">
        <v>37</v>
      </c>
      <c r="E21" s="12" t="s">
        <v>38</v>
      </c>
      <c r="F21" s="12" t="s">
        <v>198</v>
      </c>
      <c r="G21" s="27" t="s">
        <v>51</v>
      </c>
      <c r="H21" s="13" t="s">
        <v>199</v>
      </c>
      <c r="I21" s="34">
        <v>45393</v>
      </c>
      <c r="J21" s="33" t="s">
        <v>189</v>
      </c>
      <c r="K21" s="20" t="s">
        <v>190</v>
      </c>
      <c r="L21" s="29">
        <v>2</v>
      </c>
      <c r="M21" s="24">
        <v>1600</v>
      </c>
      <c r="N21" s="13">
        <v>9018410000</v>
      </c>
      <c r="O21" s="27" t="s">
        <v>200</v>
      </c>
      <c r="P21" s="22">
        <v>45455</v>
      </c>
      <c r="Q21" s="13" t="s">
        <v>187</v>
      </c>
      <c r="R21" s="13" t="s">
        <v>201</v>
      </c>
      <c r="S21" s="25" t="s">
        <v>202</v>
      </c>
      <c r="T21" s="25" t="s">
        <v>51</v>
      </c>
      <c r="U21" s="13" t="s">
        <v>51</v>
      </c>
      <c r="V21" s="13"/>
      <c r="W21" s="13" t="s">
        <v>57</v>
      </c>
      <c r="X21" s="13" t="s">
        <v>45</v>
      </c>
      <c r="Y21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21" s="13" t="s">
        <v>59</v>
      </c>
      <c r="AA21" s="13" t="s">
        <v>194</v>
      </c>
      <c r="AB21" s="13" t="s">
        <v>131</v>
      </c>
      <c r="AC21" s="13" t="s">
        <v>51</v>
      </c>
      <c r="AD21" s="13" t="s">
        <v>51</v>
      </c>
      <c r="AE21" s="13" t="s">
        <v>51</v>
      </c>
      <c r="AF21" s="13" t="s">
        <v>51</v>
      </c>
      <c r="AG21" s="13" t="s">
        <v>47</v>
      </c>
      <c r="AH21" s="20" t="s">
        <v>48</v>
      </c>
      <c r="AI21" s="20" t="s">
        <v>203</v>
      </c>
      <c r="AJ21"/>
    </row>
    <row r="22" spans="1:36" ht="15" customHeight="1" x14ac:dyDescent="0.35">
      <c r="A22" s="12">
        <v>20</v>
      </c>
      <c r="B22" s="12" t="s">
        <v>35</v>
      </c>
      <c r="C22" s="12" t="s">
        <v>36</v>
      </c>
      <c r="D22" s="13" t="s">
        <v>37</v>
      </c>
      <c r="E22" s="12" t="s">
        <v>38</v>
      </c>
      <c r="F22" s="12" t="s">
        <v>167</v>
      </c>
      <c r="G22" s="27" t="s">
        <v>204</v>
      </c>
      <c r="H22" s="13" t="s">
        <v>205</v>
      </c>
      <c r="I22" s="25">
        <v>45323</v>
      </c>
      <c r="J22" s="33" t="s">
        <v>206</v>
      </c>
      <c r="K22" s="20" t="s">
        <v>207</v>
      </c>
      <c r="L22" s="29" t="s">
        <v>208</v>
      </c>
      <c r="M22" s="24">
        <v>2000</v>
      </c>
      <c r="N22" s="13">
        <v>8113009000</v>
      </c>
      <c r="O22" s="27" t="s">
        <v>209</v>
      </c>
      <c r="P22" s="22">
        <v>45445</v>
      </c>
      <c r="Q22" s="13"/>
      <c r="R22" s="25">
        <v>45434</v>
      </c>
      <c r="S22" s="25">
        <v>45386</v>
      </c>
      <c r="T22" s="13" t="s">
        <v>51</v>
      </c>
      <c r="U22" s="13" t="s">
        <v>51</v>
      </c>
      <c r="V22" s="13" t="s">
        <v>51</v>
      </c>
      <c r="W22" s="13" t="s">
        <v>71</v>
      </c>
      <c r="X22" s="13" t="s">
        <v>45</v>
      </c>
      <c r="Y22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22" s="13" t="s">
        <v>104</v>
      </c>
      <c r="AA22" s="13" t="s">
        <v>51</v>
      </c>
      <c r="AB22" s="13" t="s">
        <v>51</v>
      </c>
      <c r="AC22" s="13" t="s">
        <v>51</v>
      </c>
      <c r="AD22" s="13" t="s">
        <v>51</v>
      </c>
      <c r="AE22" s="13" t="s">
        <v>51</v>
      </c>
      <c r="AF22" s="13" t="s">
        <v>51</v>
      </c>
      <c r="AG22" s="13" t="s">
        <v>47</v>
      </c>
      <c r="AH22" s="20" t="s">
        <v>51</v>
      </c>
      <c r="AI22" s="20" t="s">
        <v>49</v>
      </c>
      <c r="AJ22"/>
    </row>
    <row r="23" spans="1:36" ht="15" customHeight="1" x14ac:dyDescent="0.35">
      <c r="A23" s="12">
        <v>21</v>
      </c>
      <c r="B23" s="12" t="s">
        <v>35</v>
      </c>
      <c r="C23" s="12" t="s">
        <v>36</v>
      </c>
      <c r="D23" s="13" t="s">
        <v>37</v>
      </c>
      <c r="E23" s="12" t="s">
        <v>38</v>
      </c>
      <c r="F23" s="13" t="s">
        <v>210</v>
      </c>
      <c r="G23" s="27" t="s">
        <v>211</v>
      </c>
      <c r="H23" s="13" t="s">
        <v>212</v>
      </c>
      <c r="I23" s="25">
        <v>45324</v>
      </c>
      <c r="J23" s="33" t="s">
        <v>213</v>
      </c>
      <c r="K23" s="20" t="s">
        <v>214</v>
      </c>
      <c r="L23" s="29">
        <v>931</v>
      </c>
      <c r="M23" s="24">
        <v>6590</v>
      </c>
      <c r="N23" s="13">
        <v>8109290000</v>
      </c>
      <c r="O23" s="27" t="s">
        <v>215</v>
      </c>
      <c r="P23" s="22">
        <v>45469</v>
      </c>
      <c r="Q23" s="13" t="s">
        <v>216</v>
      </c>
      <c r="R23" s="25">
        <v>45434</v>
      </c>
      <c r="S23" s="25">
        <v>45386</v>
      </c>
      <c r="T23" s="13" t="s">
        <v>51</v>
      </c>
      <c r="U23" s="13" t="s">
        <v>51</v>
      </c>
      <c r="V23" s="13" t="s">
        <v>51</v>
      </c>
      <c r="W23" s="13" t="s">
        <v>71</v>
      </c>
      <c r="X23" s="13" t="s">
        <v>45</v>
      </c>
      <c r="Y23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23" s="13" t="s">
        <v>104</v>
      </c>
      <c r="AA23" s="13" t="s">
        <v>51</v>
      </c>
      <c r="AB23" s="13" t="s">
        <v>51</v>
      </c>
      <c r="AC23" s="13" t="s">
        <v>51</v>
      </c>
      <c r="AD23" s="13" t="s">
        <v>51</v>
      </c>
      <c r="AE23" s="13" t="s">
        <v>51</v>
      </c>
      <c r="AF23" s="13" t="s">
        <v>51</v>
      </c>
      <c r="AG23" s="13" t="s">
        <v>47</v>
      </c>
      <c r="AH23" s="20" t="s">
        <v>81</v>
      </c>
      <c r="AI23" s="20" t="s">
        <v>49</v>
      </c>
      <c r="AJ23"/>
    </row>
    <row r="24" spans="1:36" ht="15" customHeight="1" x14ac:dyDescent="0.35">
      <c r="A24" s="12">
        <v>22</v>
      </c>
      <c r="B24" s="12" t="s">
        <v>35</v>
      </c>
      <c r="C24" s="12" t="s">
        <v>36</v>
      </c>
      <c r="D24" s="13" t="s">
        <v>37</v>
      </c>
      <c r="E24" s="12" t="s">
        <v>38</v>
      </c>
      <c r="F24" s="12" t="s">
        <v>143</v>
      </c>
      <c r="G24" s="27" t="s">
        <v>217</v>
      </c>
      <c r="H24" s="13" t="s">
        <v>218</v>
      </c>
      <c r="I24" s="25">
        <v>45323</v>
      </c>
      <c r="J24" s="33" t="s">
        <v>219</v>
      </c>
      <c r="K24" s="20" t="s">
        <v>220</v>
      </c>
      <c r="L24" s="29">
        <v>10</v>
      </c>
      <c r="M24" s="24">
        <v>5400</v>
      </c>
      <c r="N24" s="13">
        <v>8514390010</v>
      </c>
      <c r="O24" s="27" t="s">
        <v>221</v>
      </c>
      <c r="P24" s="22">
        <v>45445</v>
      </c>
      <c r="Q24" s="13" t="s">
        <v>148</v>
      </c>
      <c r="R24" s="25">
        <v>45434</v>
      </c>
      <c r="S24" s="25">
        <v>45386</v>
      </c>
      <c r="T24" s="13" t="s">
        <v>51</v>
      </c>
      <c r="U24" s="13" t="s">
        <v>51</v>
      </c>
      <c r="V24" s="13" t="s">
        <v>51</v>
      </c>
      <c r="W24" s="13" t="s">
        <v>71</v>
      </c>
      <c r="X24" s="13" t="s">
        <v>45</v>
      </c>
      <c r="Y24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24" s="13" t="s">
        <v>104</v>
      </c>
      <c r="AA24" s="13" t="s">
        <v>51</v>
      </c>
      <c r="AB24" s="13" t="s">
        <v>51</v>
      </c>
      <c r="AC24" s="13" t="s">
        <v>51</v>
      </c>
      <c r="AD24" s="13" t="s">
        <v>51</v>
      </c>
      <c r="AE24" s="13" t="s">
        <v>51</v>
      </c>
      <c r="AF24" s="13" t="s">
        <v>51</v>
      </c>
      <c r="AG24" s="13" t="s">
        <v>47</v>
      </c>
      <c r="AH24" s="20" t="s">
        <v>142</v>
      </c>
      <c r="AI24" s="20" t="s">
        <v>49</v>
      </c>
      <c r="AJ24"/>
    </row>
    <row r="25" spans="1:36" ht="15" customHeight="1" x14ac:dyDescent="0.35">
      <c r="A25" s="12">
        <v>23</v>
      </c>
      <c r="B25" s="12" t="s">
        <v>35</v>
      </c>
      <c r="C25" s="12" t="s">
        <v>36</v>
      </c>
      <c r="D25" s="13" t="s">
        <v>37</v>
      </c>
      <c r="E25" s="12" t="s">
        <v>38</v>
      </c>
      <c r="F25" s="12" t="s">
        <v>222</v>
      </c>
      <c r="G25" s="27" t="s">
        <v>223</v>
      </c>
      <c r="H25" s="13" t="s">
        <v>224</v>
      </c>
      <c r="I25" s="25">
        <v>45340</v>
      </c>
      <c r="J25" s="33" t="s">
        <v>225</v>
      </c>
      <c r="K25" s="20" t="s">
        <v>226</v>
      </c>
      <c r="L25" s="29">
        <v>8</v>
      </c>
      <c r="M25" s="24">
        <v>3500</v>
      </c>
      <c r="N25" s="13" t="s">
        <v>227</v>
      </c>
      <c r="O25" s="27" t="s">
        <v>228</v>
      </c>
      <c r="P25" s="22">
        <v>45441</v>
      </c>
      <c r="Q25" s="13"/>
      <c r="R25" s="25">
        <v>45434</v>
      </c>
      <c r="S25" s="25">
        <v>45386</v>
      </c>
      <c r="T25" s="13" t="s">
        <v>51</v>
      </c>
      <c r="U25" s="13" t="s">
        <v>51</v>
      </c>
      <c r="V25" s="13" t="s">
        <v>51</v>
      </c>
      <c r="W25" s="13" t="s">
        <v>71</v>
      </c>
      <c r="X25" s="13" t="s">
        <v>45</v>
      </c>
      <c r="Y25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25" s="13" t="s">
        <v>104</v>
      </c>
      <c r="AA25" s="13" t="s">
        <v>51</v>
      </c>
      <c r="AB25" s="13" t="s">
        <v>51</v>
      </c>
      <c r="AC25" s="13" t="s">
        <v>51</v>
      </c>
      <c r="AD25" s="13" t="s">
        <v>51</v>
      </c>
      <c r="AE25" s="13" t="s">
        <v>51</v>
      </c>
      <c r="AF25" s="13" t="s">
        <v>51</v>
      </c>
      <c r="AG25" s="13" t="s">
        <v>47</v>
      </c>
      <c r="AH25" s="20" t="s">
        <v>81</v>
      </c>
      <c r="AI25" s="20" t="s">
        <v>49</v>
      </c>
      <c r="AJ25"/>
    </row>
    <row r="26" spans="1:36" ht="15" customHeight="1" x14ac:dyDescent="0.35">
      <c r="A26" s="12">
        <v>24</v>
      </c>
      <c r="B26" s="12" t="s">
        <v>35</v>
      </c>
      <c r="C26" s="12" t="s">
        <v>36</v>
      </c>
      <c r="D26" s="13" t="s">
        <v>37</v>
      </c>
      <c r="E26" s="12" t="s">
        <v>38</v>
      </c>
      <c r="F26" s="12" t="s">
        <v>82</v>
      </c>
      <c r="G26" s="27" t="s">
        <v>229</v>
      </c>
      <c r="H26" s="13" t="s">
        <v>230</v>
      </c>
      <c r="I26" s="25">
        <v>45258</v>
      </c>
      <c r="J26" s="33" t="s">
        <v>231</v>
      </c>
      <c r="K26" s="20" t="s">
        <v>232</v>
      </c>
      <c r="L26" s="29">
        <v>7</v>
      </c>
      <c r="M26" s="24">
        <v>11300</v>
      </c>
      <c r="N26" s="13">
        <v>8471490000</v>
      </c>
      <c r="O26" s="27" t="s">
        <v>233</v>
      </c>
      <c r="P26" s="22">
        <v>45453</v>
      </c>
      <c r="Q26" s="13" t="s">
        <v>234</v>
      </c>
      <c r="R26" s="25">
        <v>45434</v>
      </c>
      <c r="S26" s="25">
        <v>45386</v>
      </c>
      <c r="T26" s="13" t="s">
        <v>51</v>
      </c>
      <c r="U26" s="13" t="s">
        <v>51</v>
      </c>
      <c r="V26" s="13" t="s">
        <v>51</v>
      </c>
      <c r="W26" s="13" t="s">
        <v>71</v>
      </c>
      <c r="X26" s="13" t="s">
        <v>45</v>
      </c>
      <c r="Y26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26" s="13" t="s">
        <v>104</v>
      </c>
      <c r="AA26" s="13" t="s">
        <v>51</v>
      </c>
      <c r="AB26" s="13" t="s">
        <v>51</v>
      </c>
      <c r="AC26" s="13" t="s">
        <v>51</v>
      </c>
      <c r="AD26" s="13" t="s">
        <v>51</v>
      </c>
      <c r="AE26" s="13" t="s">
        <v>51</v>
      </c>
      <c r="AF26" s="13" t="s">
        <v>51</v>
      </c>
      <c r="AG26" s="13" t="s">
        <v>47</v>
      </c>
      <c r="AH26" s="20" t="s">
        <v>81</v>
      </c>
      <c r="AI26" s="20" t="s">
        <v>49</v>
      </c>
      <c r="AJ26"/>
    </row>
    <row r="27" spans="1:36" ht="15" customHeight="1" x14ac:dyDescent="0.35">
      <c r="A27" s="12">
        <v>25</v>
      </c>
      <c r="B27" s="12" t="s">
        <v>35</v>
      </c>
      <c r="C27" s="12" t="s">
        <v>36</v>
      </c>
      <c r="D27" s="13" t="s">
        <v>37</v>
      </c>
      <c r="E27" s="12" t="s">
        <v>38</v>
      </c>
      <c r="F27" s="12" t="s">
        <v>82</v>
      </c>
      <c r="G27" s="27" t="s">
        <v>235</v>
      </c>
      <c r="H27" s="13" t="s">
        <v>236</v>
      </c>
      <c r="I27" s="25">
        <v>45266</v>
      </c>
      <c r="J27" s="33" t="s">
        <v>237</v>
      </c>
      <c r="K27" s="20" t="s">
        <v>238</v>
      </c>
      <c r="L27" s="29">
        <v>9</v>
      </c>
      <c r="M27" s="24">
        <v>13500</v>
      </c>
      <c r="N27" s="13">
        <v>9018490000</v>
      </c>
      <c r="O27" s="27" t="s">
        <v>239</v>
      </c>
      <c r="P27" s="22">
        <v>45467</v>
      </c>
      <c r="Q27" s="13" t="s">
        <v>234</v>
      </c>
      <c r="R27" s="25">
        <v>45434</v>
      </c>
      <c r="S27" s="25">
        <v>45386</v>
      </c>
      <c r="T27" s="13" t="s">
        <v>51</v>
      </c>
      <c r="U27" s="13" t="s">
        <v>51</v>
      </c>
      <c r="V27" s="13" t="s">
        <v>51</v>
      </c>
      <c r="W27" s="13" t="s">
        <v>71</v>
      </c>
      <c r="X27" s="13" t="s">
        <v>45</v>
      </c>
      <c r="Y27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27" s="13" t="s">
        <v>104</v>
      </c>
      <c r="AA27" s="13" t="s">
        <v>51</v>
      </c>
      <c r="AB27" s="13" t="s">
        <v>51</v>
      </c>
      <c r="AC27" s="13" t="s">
        <v>51</v>
      </c>
      <c r="AD27" s="13" t="s">
        <v>51</v>
      </c>
      <c r="AE27" s="13" t="s">
        <v>51</v>
      </c>
      <c r="AF27" s="13" t="s">
        <v>51</v>
      </c>
      <c r="AG27" s="13" t="s">
        <v>47</v>
      </c>
      <c r="AH27" s="20" t="s">
        <v>81</v>
      </c>
      <c r="AI27" s="20" t="s">
        <v>49</v>
      </c>
      <c r="AJ27"/>
    </row>
    <row r="28" spans="1:36" ht="15" customHeight="1" x14ac:dyDescent="0.35">
      <c r="A28" s="12">
        <v>26</v>
      </c>
      <c r="B28" s="12" t="s">
        <v>35</v>
      </c>
      <c r="C28" s="12" t="s">
        <v>36</v>
      </c>
      <c r="D28" s="13" t="s">
        <v>37</v>
      </c>
      <c r="E28" s="12" t="s">
        <v>153</v>
      </c>
      <c r="F28" s="12" t="s">
        <v>154</v>
      </c>
      <c r="G28" s="27" t="s">
        <v>240</v>
      </c>
      <c r="H28" s="27" t="s">
        <v>241</v>
      </c>
      <c r="I28" s="34">
        <v>45356</v>
      </c>
      <c r="J28" s="33" t="s">
        <v>242</v>
      </c>
      <c r="K28" s="20" t="s">
        <v>243</v>
      </c>
      <c r="L28" s="29">
        <v>12</v>
      </c>
      <c r="M28" s="24">
        <v>13250</v>
      </c>
      <c r="N28" s="13">
        <v>8479890090</v>
      </c>
      <c r="O28" s="27" t="s">
        <v>244</v>
      </c>
      <c r="P28" s="22">
        <v>45501</v>
      </c>
      <c r="Q28" s="13" t="s">
        <v>154</v>
      </c>
      <c r="R28" s="25">
        <v>45434</v>
      </c>
      <c r="S28" s="25">
        <v>45402</v>
      </c>
      <c r="T28" s="13"/>
      <c r="U28" s="13" t="s">
        <v>245</v>
      </c>
      <c r="V28" s="13" t="s">
        <v>246</v>
      </c>
      <c r="W28" s="13" t="s">
        <v>71</v>
      </c>
      <c r="X28" s="13" t="s">
        <v>154</v>
      </c>
      <c r="Y28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28" s="13" t="s">
        <v>154</v>
      </c>
      <c r="AA28" s="13" t="s">
        <v>51</v>
      </c>
      <c r="AB28" s="13" t="s">
        <v>51</v>
      </c>
      <c r="AC28" s="13" t="s">
        <v>51</v>
      </c>
      <c r="AD28" s="19" t="s">
        <v>51</v>
      </c>
      <c r="AE28" s="13" t="s">
        <v>51</v>
      </c>
      <c r="AF28" s="13" t="s">
        <v>51</v>
      </c>
      <c r="AG28" s="13" t="s">
        <v>47</v>
      </c>
      <c r="AH28" s="20" t="s">
        <v>81</v>
      </c>
      <c r="AI28" s="20" t="s">
        <v>49</v>
      </c>
      <c r="AJ28"/>
    </row>
    <row r="29" spans="1:36" ht="15" customHeight="1" x14ac:dyDescent="0.35">
      <c r="A29" s="12">
        <v>27</v>
      </c>
      <c r="B29" s="12" t="s">
        <v>35</v>
      </c>
      <c r="C29" s="12" t="s">
        <v>36</v>
      </c>
      <c r="D29" s="13" t="s">
        <v>37</v>
      </c>
      <c r="E29" s="12" t="s">
        <v>153</v>
      </c>
      <c r="F29" s="12" t="s">
        <v>154</v>
      </c>
      <c r="G29" s="27" t="s">
        <v>51</v>
      </c>
      <c r="H29" s="27" t="s">
        <v>247</v>
      </c>
      <c r="I29" s="25">
        <v>45373</v>
      </c>
      <c r="J29" s="33" t="s">
        <v>248</v>
      </c>
      <c r="K29" s="20" t="s">
        <v>249</v>
      </c>
      <c r="L29" s="29">
        <v>10</v>
      </c>
      <c r="M29" s="24">
        <v>13250</v>
      </c>
      <c r="N29" s="13">
        <v>8419390000</v>
      </c>
      <c r="O29" s="27" t="s">
        <v>250</v>
      </c>
      <c r="P29" s="22">
        <v>45511</v>
      </c>
      <c r="Q29" s="13" t="s">
        <v>154</v>
      </c>
      <c r="R29" s="25">
        <v>45434</v>
      </c>
      <c r="S29" s="25">
        <v>45497</v>
      </c>
      <c r="T29" s="13"/>
      <c r="U29" s="13"/>
      <c r="V29" s="13"/>
      <c r="W29" s="13" t="s">
        <v>57</v>
      </c>
      <c r="X29" s="13" t="s">
        <v>154</v>
      </c>
      <c r="Y29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29" s="13" t="s">
        <v>182</v>
      </c>
      <c r="AA29" s="13" t="s">
        <v>251</v>
      </c>
      <c r="AB29" s="13" t="s">
        <v>47</v>
      </c>
      <c r="AC29" s="13" t="s">
        <v>51</v>
      </c>
      <c r="AD29" s="19" t="s">
        <v>252</v>
      </c>
      <c r="AE29" s="13" t="s">
        <v>47</v>
      </c>
      <c r="AF29" s="35" t="s">
        <v>253</v>
      </c>
      <c r="AG29" s="13" t="s">
        <v>47</v>
      </c>
      <c r="AH29" s="20" t="s">
        <v>142</v>
      </c>
      <c r="AI29" s="20" t="s">
        <v>49</v>
      </c>
      <c r="AJ29"/>
    </row>
    <row r="30" spans="1:36" ht="15" customHeight="1" x14ac:dyDescent="0.35">
      <c r="A30" s="12">
        <v>28</v>
      </c>
      <c r="B30" s="12" t="s">
        <v>35</v>
      </c>
      <c r="C30" s="12" t="s">
        <v>36</v>
      </c>
      <c r="D30" s="13" t="s">
        <v>37</v>
      </c>
      <c r="E30" s="12" t="s">
        <v>38</v>
      </c>
      <c r="F30" s="12" t="s">
        <v>254</v>
      </c>
      <c r="G30" s="27" t="s">
        <v>51</v>
      </c>
      <c r="H30" s="13" t="s">
        <v>255</v>
      </c>
      <c r="I30" s="25">
        <v>45236</v>
      </c>
      <c r="J30" s="36" t="s">
        <v>256</v>
      </c>
      <c r="K30" s="37" t="s">
        <v>257</v>
      </c>
      <c r="L30" s="29">
        <v>1</v>
      </c>
      <c r="M30" s="24">
        <v>5500</v>
      </c>
      <c r="N30" s="13">
        <v>9022120010</v>
      </c>
      <c r="O30" s="27" t="s">
        <v>258</v>
      </c>
      <c r="P30" s="22">
        <v>45472</v>
      </c>
      <c r="Q30" s="13" t="s">
        <v>259</v>
      </c>
      <c r="R30" s="25">
        <v>45434</v>
      </c>
      <c r="S30" s="13" t="s">
        <v>51</v>
      </c>
      <c r="T30" s="13" t="s">
        <v>51</v>
      </c>
      <c r="U30" s="13"/>
      <c r="V30" s="13" t="s">
        <v>51</v>
      </c>
      <c r="W30" s="13" t="s">
        <v>57</v>
      </c>
      <c r="X30" s="13" t="s">
        <v>45</v>
      </c>
      <c r="Y30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30" s="13" t="s">
        <v>59</v>
      </c>
      <c r="AA30" s="13" t="s">
        <v>260</v>
      </c>
      <c r="AB30" s="13" t="s">
        <v>47</v>
      </c>
      <c r="AC30" s="13" t="s">
        <v>51</v>
      </c>
      <c r="AD30" s="13" t="s">
        <v>261</v>
      </c>
      <c r="AE30" s="13" t="s">
        <v>260</v>
      </c>
      <c r="AF30" s="13" t="s">
        <v>51</v>
      </c>
      <c r="AG30" s="13" t="s">
        <v>47</v>
      </c>
      <c r="AH30" s="20" t="s">
        <v>81</v>
      </c>
      <c r="AI30" s="20" t="s">
        <v>49</v>
      </c>
      <c r="AJ30"/>
    </row>
    <row r="31" spans="1:36" ht="15" customHeight="1" x14ac:dyDescent="0.35">
      <c r="A31" s="12">
        <v>29</v>
      </c>
      <c r="B31" s="12" t="s">
        <v>35</v>
      </c>
      <c r="C31" s="12" t="s">
        <v>36</v>
      </c>
      <c r="D31" s="13" t="s">
        <v>37</v>
      </c>
      <c r="E31" s="12" t="s">
        <v>38</v>
      </c>
      <c r="F31" s="12" t="s">
        <v>161</v>
      </c>
      <c r="G31" s="27" t="s">
        <v>262</v>
      </c>
      <c r="H31" s="13" t="s">
        <v>263</v>
      </c>
      <c r="I31" s="25">
        <v>45356</v>
      </c>
      <c r="J31" s="33" t="s">
        <v>264</v>
      </c>
      <c r="K31" s="20" t="s">
        <v>265</v>
      </c>
      <c r="L31" s="29">
        <v>5</v>
      </c>
      <c r="M31" s="24">
        <v>10000</v>
      </c>
      <c r="N31" s="13">
        <v>8414400000</v>
      </c>
      <c r="O31" s="27" t="s">
        <v>266</v>
      </c>
      <c r="P31" s="22">
        <v>45529</v>
      </c>
      <c r="Q31" s="13" t="s">
        <v>267</v>
      </c>
      <c r="R31" s="25">
        <v>45434</v>
      </c>
      <c r="S31" s="25">
        <v>45451</v>
      </c>
      <c r="T31" s="13" t="s">
        <v>51</v>
      </c>
      <c r="U31" s="13"/>
      <c r="V31" s="13" t="s">
        <v>268</v>
      </c>
      <c r="W31" s="13" t="s">
        <v>269</v>
      </c>
      <c r="X31" s="13" t="s">
        <v>45</v>
      </c>
      <c r="Y31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31" s="13" t="s">
        <v>182</v>
      </c>
      <c r="AA31" s="13" t="s">
        <v>270</v>
      </c>
      <c r="AB31" s="13" t="s">
        <v>47</v>
      </c>
      <c r="AC31" s="13"/>
      <c r="AD31" s="19" t="s">
        <v>271</v>
      </c>
      <c r="AE31" s="13" t="s">
        <v>47</v>
      </c>
      <c r="AF31" s="13"/>
      <c r="AG31" s="13" t="s">
        <v>47</v>
      </c>
      <c r="AH31" s="20" t="s">
        <v>81</v>
      </c>
      <c r="AI31" s="20" t="s">
        <v>49</v>
      </c>
      <c r="AJ31"/>
    </row>
    <row r="32" spans="1:36" ht="15" customHeight="1" x14ac:dyDescent="0.35">
      <c r="A32" s="12">
        <v>30</v>
      </c>
      <c r="B32" s="12" t="s">
        <v>35</v>
      </c>
      <c r="C32" s="12" t="s">
        <v>36</v>
      </c>
      <c r="D32" s="13" t="s">
        <v>37</v>
      </c>
      <c r="E32" s="12" t="s">
        <v>38</v>
      </c>
      <c r="F32" s="12" t="s">
        <v>272</v>
      </c>
      <c r="G32" s="27" t="s">
        <v>262</v>
      </c>
      <c r="H32" s="27" t="s">
        <v>273</v>
      </c>
      <c r="I32" s="25">
        <v>45379</v>
      </c>
      <c r="J32" s="33" t="s">
        <v>274</v>
      </c>
      <c r="K32" s="20" t="s">
        <v>275</v>
      </c>
      <c r="L32" s="29">
        <v>50</v>
      </c>
      <c r="M32" s="24">
        <v>8085.36</v>
      </c>
      <c r="N32" s="13">
        <v>85437090909</v>
      </c>
      <c r="O32" s="27" t="s">
        <v>266</v>
      </c>
      <c r="P32" s="22">
        <v>45529</v>
      </c>
      <c r="Q32" s="13" t="s">
        <v>216</v>
      </c>
      <c r="R32" s="25">
        <v>45460</v>
      </c>
      <c r="S32" s="25">
        <v>45451</v>
      </c>
      <c r="T32" s="13" t="s">
        <v>51</v>
      </c>
      <c r="U32" s="13" t="s">
        <v>51</v>
      </c>
      <c r="V32" s="13"/>
      <c r="W32" s="13" t="s">
        <v>269</v>
      </c>
      <c r="X32" s="13" t="s">
        <v>45</v>
      </c>
      <c r="Y32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32" s="13" t="s">
        <v>182</v>
      </c>
      <c r="AA32" s="13"/>
      <c r="AB32" s="13"/>
      <c r="AC32" s="13" t="s">
        <v>51</v>
      </c>
      <c r="AD32" s="19"/>
      <c r="AE32" s="13"/>
      <c r="AF32" s="13" t="s">
        <v>51</v>
      </c>
      <c r="AG32" s="13" t="s">
        <v>47</v>
      </c>
      <c r="AH32" s="20" t="s">
        <v>81</v>
      </c>
      <c r="AI32" s="20" t="s">
        <v>49</v>
      </c>
      <c r="AJ32"/>
    </row>
    <row r="33" spans="1:36" ht="15" customHeight="1" x14ac:dyDescent="0.35">
      <c r="A33" s="12">
        <v>31</v>
      </c>
      <c r="B33" s="12" t="s">
        <v>35</v>
      </c>
      <c r="C33" s="12" t="s">
        <v>36</v>
      </c>
      <c r="D33" s="13" t="s">
        <v>37</v>
      </c>
      <c r="E33" s="12" t="s">
        <v>38</v>
      </c>
      <c r="F33" s="12" t="s">
        <v>276</v>
      </c>
      <c r="G33" s="27" t="s">
        <v>262</v>
      </c>
      <c r="H33" s="27" t="s">
        <v>277</v>
      </c>
      <c r="I33" s="25">
        <v>45379</v>
      </c>
      <c r="J33" s="33" t="s">
        <v>278</v>
      </c>
      <c r="K33" s="20" t="s">
        <v>279</v>
      </c>
      <c r="L33" s="29">
        <v>6</v>
      </c>
      <c r="M33" s="24">
        <v>3010</v>
      </c>
      <c r="N33" s="13">
        <v>85437090909</v>
      </c>
      <c r="O33" s="27" t="s">
        <v>266</v>
      </c>
      <c r="P33" s="22">
        <v>45529</v>
      </c>
      <c r="Q33" s="13" t="s">
        <v>216</v>
      </c>
      <c r="R33" s="25">
        <v>45460</v>
      </c>
      <c r="S33" s="25">
        <v>45451</v>
      </c>
      <c r="T33" s="13"/>
      <c r="U33" s="13"/>
      <c r="V33" s="13"/>
      <c r="W33" s="13" t="s">
        <v>269</v>
      </c>
      <c r="X33" s="13" t="s">
        <v>45</v>
      </c>
      <c r="Y33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33" s="13" t="s">
        <v>182</v>
      </c>
      <c r="AA33" s="13"/>
      <c r="AB33" s="13"/>
      <c r="AC33" s="13"/>
      <c r="AD33" s="19"/>
      <c r="AE33" s="13"/>
      <c r="AF33" s="13"/>
      <c r="AG33" s="13" t="s">
        <v>47</v>
      </c>
      <c r="AH33" s="20" t="s">
        <v>81</v>
      </c>
      <c r="AI33" s="20" t="s">
        <v>49</v>
      </c>
      <c r="AJ33"/>
    </row>
    <row r="34" spans="1:36" ht="15" customHeight="1" x14ac:dyDescent="0.35">
      <c r="A34" s="12">
        <v>32</v>
      </c>
      <c r="B34" s="12" t="s">
        <v>35</v>
      </c>
      <c r="C34" s="12" t="s">
        <v>36</v>
      </c>
      <c r="D34" s="13" t="s">
        <v>37</v>
      </c>
      <c r="E34" s="12" t="s">
        <v>38</v>
      </c>
      <c r="F34" s="12" t="s">
        <v>254</v>
      </c>
      <c r="G34" s="27" t="s">
        <v>280</v>
      </c>
      <c r="H34" s="13" t="s">
        <v>281</v>
      </c>
      <c r="I34" s="25">
        <v>45234</v>
      </c>
      <c r="J34" s="36" t="s">
        <v>282</v>
      </c>
      <c r="K34" s="37" t="s">
        <v>283</v>
      </c>
      <c r="L34" s="29">
        <v>1</v>
      </c>
      <c r="M34" s="24">
        <v>8500</v>
      </c>
      <c r="N34" s="13">
        <v>9022130000</v>
      </c>
      <c r="O34" s="27" t="s">
        <v>284</v>
      </c>
      <c r="P34" s="22">
        <v>45546</v>
      </c>
      <c r="Q34" s="13" t="s">
        <v>259</v>
      </c>
      <c r="R34" s="13" t="s">
        <v>285</v>
      </c>
      <c r="S34" s="25">
        <v>45501</v>
      </c>
      <c r="T34" s="13" t="s">
        <v>51</v>
      </c>
      <c r="U34" s="13"/>
      <c r="V34" s="13" t="s">
        <v>268</v>
      </c>
      <c r="W34" s="13" t="s">
        <v>269</v>
      </c>
      <c r="X34" s="13" t="s">
        <v>45</v>
      </c>
      <c r="Y34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34" s="13" t="s">
        <v>182</v>
      </c>
      <c r="AA34" s="13" t="s">
        <v>286</v>
      </c>
      <c r="AB34" s="13" t="s">
        <v>47</v>
      </c>
      <c r="AC34" s="13" t="s">
        <v>51</v>
      </c>
      <c r="AD34" s="13" t="s">
        <v>271</v>
      </c>
      <c r="AE34" s="13" t="s">
        <v>47</v>
      </c>
      <c r="AF34" s="13" t="s">
        <v>51</v>
      </c>
      <c r="AG34" s="13" t="s">
        <v>47</v>
      </c>
      <c r="AH34" s="20" t="s">
        <v>81</v>
      </c>
      <c r="AI34" s="20" t="s">
        <v>49</v>
      </c>
      <c r="AJ34"/>
    </row>
    <row r="35" spans="1:36" ht="15" customHeight="1" x14ac:dyDescent="0.35">
      <c r="A35" s="12">
        <v>33</v>
      </c>
      <c r="B35" s="12" t="s">
        <v>35</v>
      </c>
      <c r="C35" s="12" t="s">
        <v>36</v>
      </c>
      <c r="D35" s="13" t="s">
        <v>37</v>
      </c>
      <c r="E35" s="12" t="s">
        <v>38</v>
      </c>
      <c r="F35" s="12" t="s">
        <v>82</v>
      </c>
      <c r="G35" s="27" t="s">
        <v>280</v>
      </c>
      <c r="H35" s="27" t="s">
        <v>287</v>
      </c>
      <c r="I35" s="38">
        <v>45470</v>
      </c>
      <c r="J35" s="5" t="s">
        <v>288</v>
      </c>
      <c r="K35" s="39" t="s">
        <v>289</v>
      </c>
      <c r="L35" s="20">
        <v>4</v>
      </c>
      <c r="M35" s="24">
        <v>2000</v>
      </c>
      <c r="N35" s="13">
        <v>9018490000</v>
      </c>
      <c r="O35" s="27" t="s">
        <v>284</v>
      </c>
      <c r="P35" s="22">
        <v>45546</v>
      </c>
      <c r="Q35" s="20"/>
      <c r="R35" s="13" t="s">
        <v>285</v>
      </c>
      <c r="S35" s="25">
        <v>45501</v>
      </c>
      <c r="T35" s="20"/>
      <c r="U35" s="20"/>
      <c r="V35" s="13"/>
      <c r="W35" s="13" t="s">
        <v>269</v>
      </c>
      <c r="X35" s="13" t="s">
        <v>45</v>
      </c>
      <c r="Y35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35" s="13" t="s">
        <v>182</v>
      </c>
      <c r="AA35" s="13"/>
      <c r="AB35" s="13"/>
      <c r="AC35" s="20"/>
      <c r="AD35" s="13"/>
      <c r="AE35" s="13"/>
      <c r="AF35" s="20"/>
      <c r="AG35" s="13" t="s">
        <v>47</v>
      </c>
      <c r="AH35" s="20" t="s">
        <v>81</v>
      </c>
      <c r="AI35" s="20" t="s">
        <v>49</v>
      </c>
      <c r="AJ35"/>
    </row>
    <row r="36" spans="1:36" ht="15" customHeight="1" x14ac:dyDescent="0.35">
      <c r="A36" s="12">
        <v>34</v>
      </c>
      <c r="B36" s="12" t="s">
        <v>35</v>
      </c>
      <c r="C36" s="12" t="s">
        <v>36</v>
      </c>
      <c r="D36" s="13" t="s">
        <v>37</v>
      </c>
      <c r="E36" s="12" t="s">
        <v>38</v>
      </c>
      <c r="F36" s="12" t="s">
        <v>82</v>
      </c>
      <c r="G36" s="27" t="s">
        <v>280</v>
      </c>
      <c r="H36" s="27" t="s">
        <v>290</v>
      </c>
      <c r="I36" s="38">
        <v>45483</v>
      </c>
      <c r="J36" s="5" t="s">
        <v>291</v>
      </c>
      <c r="K36" s="39" t="s">
        <v>292</v>
      </c>
      <c r="L36" s="20">
        <v>2</v>
      </c>
      <c r="M36" s="24">
        <v>1000</v>
      </c>
      <c r="N36" s="13">
        <v>8479890090</v>
      </c>
      <c r="O36" s="27" t="s">
        <v>284</v>
      </c>
      <c r="P36" s="22">
        <v>45546</v>
      </c>
      <c r="Q36" s="20"/>
      <c r="R36" s="13" t="s">
        <v>285</v>
      </c>
      <c r="S36" s="25">
        <v>45501</v>
      </c>
      <c r="T36" s="20"/>
      <c r="U36" s="20"/>
      <c r="V36" s="13"/>
      <c r="W36" s="13" t="s">
        <v>269</v>
      </c>
      <c r="X36" s="13" t="s">
        <v>45</v>
      </c>
      <c r="Y36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36" s="13" t="s">
        <v>182</v>
      </c>
      <c r="AA36" s="13"/>
      <c r="AB36" s="13"/>
      <c r="AC36" s="20"/>
      <c r="AD36" s="13"/>
      <c r="AE36" s="13"/>
      <c r="AF36" s="20"/>
      <c r="AG36" s="13" t="s">
        <v>47</v>
      </c>
      <c r="AH36" s="20" t="s">
        <v>81</v>
      </c>
      <c r="AI36" s="20" t="s">
        <v>49</v>
      </c>
      <c r="AJ36"/>
    </row>
    <row r="37" spans="1:36" ht="15" customHeight="1" x14ac:dyDescent="0.35">
      <c r="A37" s="12">
        <v>35</v>
      </c>
      <c r="B37" s="12" t="s">
        <v>35</v>
      </c>
      <c r="C37" s="12" t="s">
        <v>36</v>
      </c>
      <c r="D37" s="13" t="s">
        <v>37</v>
      </c>
      <c r="E37" s="12" t="s">
        <v>38</v>
      </c>
      <c r="F37" s="12" t="s">
        <v>187</v>
      </c>
      <c r="G37" s="27" t="s">
        <v>280</v>
      </c>
      <c r="H37" s="27" t="s">
        <v>293</v>
      </c>
      <c r="I37" s="38">
        <v>45474</v>
      </c>
      <c r="J37" s="5" t="s">
        <v>294</v>
      </c>
      <c r="K37" s="39" t="s">
        <v>190</v>
      </c>
      <c r="L37" s="20">
        <v>2</v>
      </c>
      <c r="M37" s="24">
        <v>1600</v>
      </c>
      <c r="N37" s="13">
        <v>8479890090</v>
      </c>
      <c r="O37" s="27" t="s">
        <v>284</v>
      </c>
      <c r="P37" s="40">
        <v>45546</v>
      </c>
      <c r="Q37" s="20"/>
      <c r="R37" s="13" t="s">
        <v>285</v>
      </c>
      <c r="S37" s="25">
        <v>45501</v>
      </c>
      <c r="T37" s="20"/>
      <c r="U37" s="20"/>
      <c r="V37" s="13"/>
      <c r="W37" s="13" t="s">
        <v>269</v>
      </c>
      <c r="X37" s="13" t="s">
        <v>45</v>
      </c>
      <c r="Y37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37" s="13" t="s">
        <v>182</v>
      </c>
      <c r="AA37" s="13"/>
      <c r="AB37" s="13"/>
      <c r="AC37" s="20"/>
      <c r="AD37" s="13"/>
      <c r="AE37" s="13"/>
      <c r="AF37" s="20"/>
      <c r="AG37" s="13" t="s">
        <v>47</v>
      </c>
      <c r="AH37" s="20" t="s">
        <v>81</v>
      </c>
      <c r="AI37" s="20" t="s">
        <v>49</v>
      </c>
      <c r="AJ37"/>
    </row>
    <row r="38" spans="1:36" ht="15" customHeight="1" x14ac:dyDescent="0.35">
      <c r="A38" s="12">
        <v>36</v>
      </c>
      <c r="B38" s="12" t="s">
        <v>35</v>
      </c>
      <c r="C38" s="12" t="s">
        <v>36</v>
      </c>
      <c r="D38" s="13" t="s">
        <v>37</v>
      </c>
      <c r="E38" s="12" t="s">
        <v>38</v>
      </c>
      <c r="F38" s="12" t="s">
        <v>82</v>
      </c>
      <c r="G38" s="27" t="s">
        <v>295</v>
      </c>
      <c r="H38" s="27" t="s">
        <v>296</v>
      </c>
      <c r="I38" s="38">
        <v>45505</v>
      </c>
      <c r="J38" s="5" t="s">
        <v>297</v>
      </c>
      <c r="K38" s="39" t="s">
        <v>298</v>
      </c>
      <c r="L38" s="20">
        <v>2</v>
      </c>
      <c r="M38" s="24">
        <v>1000</v>
      </c>
      <c r="N38" s="13">
        <v>8479890090</v>
      </c>
      <c r="O38" s="27" t="s">
        <v>299</v>
      </c>
      <c r="P38" s="22">
        <v>45594</v>
      </c>
      <c r="Q38" s="20"/>
      <c r="R38" s="38">
        <v>45581</v>
      </c>
      <c r="S38" s="25">
        <v>45534</v>
      </c>
      <c r="T38" s="20"/>
      <c r="U38" s="20"/>
      <c r="V38" s="20"/>
      <c r="W38" s="20" t="s">
        <v>300</v>
      </c>
      <c r="X38" s="13" t="s">
        <v>45</v>
      </c>
      <c r="Y38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38" s="13" t="s">
        <v>182</v>
      </c>
      <c r="AA38" s="20" t="s">
        <v>301</v>
      </c>
      <c r="AB38" s="20" t="s">
        <v>47</v>
      </c>
      <c r="AC38" s="20"/>
      <c r="AD38" s="20" t="s">
        <v>302</v>
      </c>
      <c r="AE38" s="20" t="s">
        <v>47</v>
      </c>
      <c r="AF38" s="20"/>
      <c r="AG38" s="20" t="s">
        <v>47</v>
      </c>
      <c r="AH38" s="20" t="s">
        <v>48</v>
      </c>
      <c r="AI38" s="20" t="s">
        <v>49</v>
      </c>
      <c r="AJ38"/>
    </row>
    <row r="39" spans="1:36" ht="15" customHeight="1" x14ac:dyDescent="0.35">
      <c r="A39" s="12">
        <v>37</v>
      </c>
      <c r="B39" s="12" t="s">
        <v>35</v>
      </c>
      <c r="C39" s="12" t="s">
        <v>36</v>
      </c>
      <c r="D39" s="13" t="s">
        <v>37</v>
      </c>
      <c r="E39" s="12" t="s">
        <v>38</v>
      </c>
      <c r="F39" s="12" t="s">
        <v>303</v>
      </c>
      <c r="G39" s="27" t="s">
        <v>51</v>
      </c>
      <c r="H39" s="27" t="s">
        <v>304</v>
      </c>
      <c r="I39" s="38">
        <v>45519</v>
      </c>
      <c r="J39" s="5" t="s">
        <v>303</v>
      </c>
      <c r="K39" s="39" t="s">
        <v>305</v>
      </c>
      <c r="L39" s="20">
        <v>105</v>
      </c>
      <c r="M39" s="24">
        <v>726</v>
      </c>
      <c r="N39" s="20" t="s">
        <v>51</v>
      </c>
      <c r="O39" s="41" t="s">
        <v>306</v>
      </c>
      <c r="P39" s="31">
        <v>45545</v>
      </c>
      <c r="Q39" s="20"/>
      <c r="R39" s="38">
        <v>45540</v>
      </c>
      <c r="S39" s="38">
        <v>45538</v>
      </c>
      <c r="T39" s="20"/>
      <c r="U39" s="20"/>
      <c r="V39" s="20" t="s">
        <v>307</v>
      </c>
      <c r="W39" s="20" t="s">
        <v>57</v>
      </c>
      <c r="X39" s="13" t="s">
        <v>45</v>
      </c>
      <c r="Y39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39" s="13" t="s">
        <v>308</v>
      </c>
      <c r="AA39" s="20" t="s">
        <v>309</v>
      </c>
      <c r="AB39" s="20" t="s">
        <v>47</v>
      </c>
      <c r="AC39" s="20"/>
      <c r="AD39" s="20" t="s">
        <v>310</v>
      </c>
      <c r="AE39" s="20" t="s">
        <v>311</v>
      </c>
      <c r="AF39" s="20"/>
      <c r="AG39" s="20" t="s">
        <v>47</v>
      </c>
      <c r="AH39" s="20" t="s">
        <v>48</v>
      </c>
      <c r="AI39" s="20" t="s">
        <v>312</v>
      </c>
      <c r="AJ39"/>
    </row>
    <row r="40" spans="1:36" ht="15" customHeight="1" x14ac:dyDescent="0.35">
      <c r="A40" s="12">
        <v>38</v>
      </c>
      <c r="B40" s="12" t="s">
        <v>35</v>
      </c>
      <c r="C40" s="12" t="s">
        <v>36</v>
      </c>
      <c r="D40" s="13" t="s">
        <v>37</v>
      </c>
      <c r="E40" s="12" t="s">
        <v>38</v>
      </c>
      <c r="F40" s="12" t="s">
        <v>313</v>
      </c>
      <c r="G40" s="27" t="s">
        <v>51</v>
      </c>
      <c r="H40" s="27" t="s">
        <v>314</v>
      </c>
      <c r="I40" s="38">
        <v>45519</v>
      </c>
      <c r="J40" s="5" t="s">
        <v>315</v>
      </c>
      <c r="K40" s="39" t="s">
        <v>316</v>
      </c>
      <c r="L40" s="20" t="s">
        <v>70</v>
      </c>
      <c r="M40" s="24">
        <v>510</v>
      </c>
      <c r="N40" s="20" t="s">
        <v>317</v>
      </c>
      <c r="O40" s="42" t="s">
        <v>318</v>
      </c>
      <c r="P40" s="43">
        <v>45560</v>
      </c>
      <c r="Q40" s="20"/>
      <c r="R40" s="20"/>
      <c r="S40" s="20"/>
      <c r="T40" s="20"/>
      <c r="U40" s="20"/>
      <c r="V40" s="20"/>
      <c r="W40" s="20" t="s">
        <v>57</v>
      </c>
      <c r="X40" s="13" t="s">
        <v>45</v>
      </c>
      <c r="Y40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40" s="13" t="s">
        <v>104</v>
      </c>
      <c r="AA40" s="20" t="s">
        <v>319</v>
      </c>
      <c r="AB40" s="20" t="s">
        <v>47</v>
      </c>
      <c r="AC40" s="20" t="s">
        <v>51</v>
      </c>
      <c r="AD40" s="20" t="s">
        <v>320</v>
      </c>
      <c r="AE40" s="20" t="s">
        <v>321</v>
      </c>
      <c r="AF40" s="20"/>
      <c r="AG40" s="20" t="s">
        <v>47</v>
      </c>
      <c r="AH40" s="20" t="s">
        <v>48</v>
      </c>
      <c r="AI40" s="20" t="s">
        <v>49</v>
      </c>
      <c r="AJ40"/>
    </row>
    <row r="41" spans="1:36" ht="15" customHeight="1" x14ac:dyDescent="0.35">
      <c r="A41" s="12">
        <v>39</v>
      </c>
      <c r="B41" s="12" t="s">
        <v>35</v>
      </c>
      <c r="C41" s="12" t="s">
        <v>185</v>
      </c>
      <c r="D41" s="13" t="s">
        <v>37</v>
      </c>
      <c r="E41" s="12" t="s">
        <v>322</v>
      </c>
      <c r="F41" s="13" t="s">
        <v>323</v>
      </c>
      <c r="G41" s="27" t="s">
        <v>51</v>
      </c>
      <c r="H41" s="27" t="s">
        <v>51</v>
      </c>
      <c r="I41" s="38">
        <v>45543</v>
      </c>
      <c r="J41" s="5" t="s">
        <v>324</v>
      </c>
      <c r="K41" s="39" t="s">
        <v>325</v>
      </c>
      <c r="L41" s="20">
        <v>4</v>
      </c>
      <c r="M41" s="24">
        <v>0</v>
      </c>
      <c r="N41" s="20"/>
      <c r="O41" s="42" t="s">
        <v>326</v>
      </c>
      <c r="P41" s="31">
        <v>45543</v>
      </c>
      <c r="Q41" s="20"/>
      <c r="R41" s="20"/>
      <c r="S41" s="20"/>
      <c r="T41" s="20"/>
      <c r="U41" s="20"/>
      <c r="V41" s="20" t="s">
        <v>327</v>
      </c>
      <c r="W41" s="20" t="s">
        <v>328</v>
      </c>
      <c r="X41" s="13" t="s">
        <v>329</v>
      </c>
      <c r="Y41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41" s="13" t="s">
        <v>330</v>
      </c>
      <c r="AA41" s="20" t="s">
        <v>331</v>
      </c>
      <c r="AB41" s="20" t="s">
        <v>47</v>
      </c>
      <c r="AC41" s="20"/>
      <c r="AD41" s="20" t="s">
        <v>252</v>
      </c>
      <c r="AE41" s="20" t="s">
        <v>332</v>
      </c>
      <c r="AF41" s="20"/>
      <c r="AG41" s="20" t="s">
        <v>47</v>
      </c>
      <c r="AH41" s="20" t="s">
        <v>51</v>
      </c>
      <c r="AI41" s="20" t="s">
        <v>333</v>
      </c>
      <c r="AJ41"/>
    </row>
    <row r="42" spans="1:36" ht="15" customHeight="1" x14ac:dyDescent="0.35">
      <c r="A42" s="12">
        <v>40</v>
      </c>
      <c r="B42" s="12" t="s">
        <v>35</v>
      </c>
      <c r="C42" s="12" t="s">
        <v>36</v>
      </c>
      <c r="D42" s="13" t="s">
        <v>37</v>
      </c>
      <c r="E42" s="12" t="s">
        <v>153</v>
      </c>
      <c r="F42" s="12" t="s">
        <v>334</v>
      </c>
      <c r="G42" s="27" t="s">
        <v>51</v>
      </c>
      <c r="H42" s="23" t="s">
        <v>335</v>
      </c>
      <c r="I42" s="27" t="s">
        <v>51</v>
      </c>
      <c r="J42" s="44" t="s">
        <v>336</v>
      </c>
      <c r="K42" s="39" t="s">
        <v>337</v>
      </c>
      <c r="L42" s="20">
        <v>1</v>
      </c>
      <c r="M42" s="24">
        <v>30</v>
      </c>
      <c r="N42" s="20"/>
      <c r="O42" s="42" t="s">
        <v>338</v>
      </c>
      <c r="P42" s="43">
        <v>45560</v>
      </c>
      <c r="Q42" s="20"/>
      <c r="R42" s="20"/>
      <c r="S42" s="20"/>
      <c r="T42" s="20"/>
      <c r="U42" s="20"/>
      <c r="V42" s="20" t="s">
        <v>307</v>
      </c>
      <c r="W42" s="20" t="s">
        <v>328</v>
      </c>
      <c r="X42" s="13" t="s">
        <v>154</v>
      </c>
      <c r="Y42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42" s="13" t="s">
        <v>339</v>
      </c>
      <c r="AA42" s="20" t="s">
        <v>340</v>
      </c>
      <c r="AB42" s="20" t="s">
        <v>341</v>
      </c>
      <c r="AC42" s="20" t="s">
        <v>51</v>
      </c>
      <c r="AD42" s="20" t="s">
        <v>252</v>
      </c>
      <c r="AE42" s="20" t="s">
        <v>342</v>
      </c>
      <c r="AF42" s="20"/>
      <c r="AG42" s="20" t="s">
        <v>47</v>
      </c>
      <c r="AH42" s="20" t="s">
        <v>48</v>
      </c>
      <c r="AI42" s="20" t="s">
        <v>343</v>
      </c>
      <c r="AJ42"/>
    </row>
    <row r="43" spans="1:36" ht="15" customHeight="1" x14ac:dyDescent="0.35">
      <c r="A43" s="12">
        <v>41</v>
      </c>
      <c r="B43" s="12" t="s">
        <v>35</v>
      </c>
      <c r="C43" s="12" t="s">
        <v>36</v>
      </c>
      <c r="D43" s="13" t="s">
        <v>37</v>
      </c>
      <c r="E43" s="12" t="s">
        <v>153</v>
      </c>
      <c r="F43" s="12" t="s">
        <v>323</v>
      </c>
      <c r="G43" s="27" t="s">
        <v>51</v>
      </c>
      <c r="H43" s="27" t="s">
        <v>344</v>
      </c>
      <c r="I43" s="27" t="s">
        <v>51</v>
      </c>
      <c r="J43" s="44" t="s">
        <v>323</v>
      </c>
      <c r="K43" s="39" t="s">
        <v>345</v>
      </c>
      <c r="L43" s="20">
        <v>4</v>
      </c>
      <c r="M43" s="24">
        <v>20</v>
      </c>
      <c r="N43" s="20">
        <v>9023000010</v>
      </c>
      <c r="O43" s="42" t="s">
        <v>346</v>
      </c>
      <c r="P43" s="31">
        <v>45547</v>
      </c>
      <c r="Q43" s="20"/>
      <c r="R43" s="20"/>
      <c r="S43" s="20"/>
      <c r="T43" s="20"/>
      <c r="U43" s="20"/>
      <c r="V43" s="20" t="s">
        <v>307</v>
      </c>
      <c r="W43" s="20" t="s">
        <v>57</v>
      </c>
      <c r="X43" s="13" t="s">
        <v>329</v>
      </c>
      <c r="Y43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43" s="13" t="s">
        <v>347</v>
      </c>
      <c r="AA43" s="20" t="s">
        <v>348</v>
      </c>
      <c r="AB43" s="20" t="s">
        <v>341</v>
      </c>
      <c r="AC43" s="20"/>
      <c r="AD43" s="20" t="s">
        <v>349</v>
      </c>
      <c r="AE43" s="20" t="s">
        <v>350</v>
      </c>
      <c r="AF43" s="20"/>
      <c r="AG43" s="20" t="s">
        <v>47</v>
      </c>
      <c r="AH43" s="20" t="s">
        <v>48</v>
      </c>
      <c r="AI43" s="20" t="s">
        <v>49</v>
      </c>
      <c r="AJ43"/>
    </row>
    <row r="44" spans="1:36" ht="15" customHeight="1" x14ac:dyDescent="0.35">
      <c r="A44" s="12">
        <v>42</v>
      </c>
      <c r="B44" s="12" t="s">
        <v>35</v>
      </c>
      <c r="C44" s="12" t="s">
        <v>36</v>
      </c>
      <c r="D44" s="13" t="s">
        <v>37</v>
      </c>
      <c r="E44" s="12" t="s">
        <v>153</v>
      </c>
      <c r="F44" s="12" t="s">
        <v>351</v>
      </c>
      <c r="G44" s="27" t="s">
        <v>352</v>
      </c>
      <c r="H44" s="27" t="s">
        <v>353</v>
      </c>
      <c r="I44" s="38">
        <v>45544</v>
      </c>
      <c r="J44" s="5" t="s">
        <v>354</v>
      </c>
      <c r="K44" s="39" t="s">
        <v>355</v>
      </c>
      <c r="L44" s="20">
        <v>12</v>
      </c>
      <c r="M44" s="24">
        <v>11900</v>
      </c>
      <c r="N44" s="20" t="s">
        <v>356</v>
      </c>
      <c r="O44" s="42" t="s">
        <v>357</v>
      </c>
      <c r="P44" s="43">
        <v>45684</v>
      </c>
      <c r="Q44" s="20" t="s">
        <v>154</v>
      </c>
      <c r="R44" s="20"/>
      <c r="S44" s="20"/>
      <c r="T44" s="20"/>
      <c r="U44" s="20"/>
      <c r="V44" s="13" t="s">
        <v>358</v>
      </c>
      <c r="W44" s="20" t="s">
        <v>71</v>
      </c>
      <c r="X44" s="13" t="s">
        <v>154</v>
      </c>
      <c r="Y44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44" s="13" t="s">
        <v>154</v>
      </c>
      <c r="AA44" s="20" t="s">
        <v>340</v>
      </c>
      <c r="AB44" s="20" t="s">
        <v>341</v>
      </c>
      <c r="AC44" s="20"/>
      <c r="AD44" s="20" t="s">
        <v>130</v>
      </c>
      <c r="AE44" s="20" t="s">
        <v>47</v>
      </c>
      <c r="AF44" s="20"/>
      <c r="AG44" s="20" t="s">
        <v>47</v>
      </c>
      <c r="AH44" s="20" t="s">
        <v>81</v>
      </c>
      <c r="AI44" s="20" t="s">
        <v>49</v>
      </c>
      <c r="AJ44"/>
    </row>
    <row r="45" spans="1:36" ht="15" customHeight="1" x14ac:dyDescent="0.35">
      <c r="A45" s="12">
        <v>43</v>
      </c>
      <c r="B45" s="12" t="s">
        <v>35</v>
      </c>
      <c r="C45" s="12" t="s">
        <v>36</v>
      </c>
      <c r="D45" s="13" t="s">
        <v>37</v>
      </c>
      <c r="E45" s="12" t="s">
        <v>38</v>
      </c>
      <c r="F45" s="13" t="s">
        <v>359</v>
      </c>
      <c r="G45" s="27" t="s">
        <v>51</v>
      </c>
      <c r="H45" s="27" t="s">
        <v>360</v>
      </c>
      <c r="I45" s="38">
        <v>45778</v>
      </c>
      <c r="J45" s="5" t="s">
        <v>361</v>
      </c>
      <c r="K45" s="39" t="s">
        <v>362</v>
      </c>
      <c r="L45" s="20">
        <v>2000</v>
      </c>
      <c r="M45" s="24">
        <v>4000</v>
      </c>
      <c r="N45" s="20"/>
      <c r="O45" s="42" t="s">
        <v>363</v>
      </c>
      <c r="P45" s="43">
        <v>45840</v>
      </c>
      <c r="Q45" s="20"/>
      <c r="R45" s="45">
        <v>45806</v>
      </c>
      <c r="S45" s="20"/>
      <c r="T45" s="20"/>
      <c r="U45" s="20"/>
      <c r="V45" s="13"/>
      <c r="W45" s="12" t="s">
        <v>57</v>
      </c>
      <c r="X45" s="13" t="s">
        <v>45</v>
      </c>
      <c r="Y45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45" s="13" t="s">
        <v>364</v>
      </c>
      <c r="AA45" s="20" t="s">
        <v>365</v>
      </c>
      <c r="AB45" s="20" t="s">
        <v>47</v>
      </c>
      <c r="AC45" s="20"/>
      <c r="AD45" s="20"/>
      <c r="AE45" s="20"/>
      <c r="AF45" s="20"/>
      <c r="AG45" s="20" t="s">
        <v>47</v>
      </c>
      <c r="AH45" s="20" t="s">
        <v>81</v>
      </c>
      <c r="AI45" s="20"/>
      <c r="AJ45"/>
    </row>
    <row r="46" spans="1:36" ht="15" customHeight="1" x14ac:dyDescent="0.35">
      <c r="A46" s="12">
        <v>44</v>
      </c>
      <c r="B46" s="12" t="s">
        <v>35</v>
      </c>
      <c r="C46" s="12" t="s">
        <v>36</v>
      </c>
      <c r="D46" s="13" t="s">
        <v>37</v>
      </c>
      <c r="E46" s="12" t="s">
        <v>38</v>
      </c>
      <c r="F46" s="13" t="s">
        <v>359</v>
      </c>
      <c r="G46" s="27" t="s">
        <v>51</v>
      </c>
      <c r="H46" s="27" t="s">
        <v>366</v>
      </c>
      <c r="I46" s="38">
        <v>45644</v>
      </c>
      <c r="J46" s="5" t="s">
        <v>361</v>
      </c>
      <c r="K46" s="39" t="s">
        <v>367</v>
      </c>
      <c r="L46" s="20">
        <v>3450</v>
      </c>
      <c r="M46" s="24">
        <v>6900</v>
      </c>
      <c r="N46" s="20"/>
      <c r="O46" s="42" t="s">
        <v>368</v>
      </c>
      <c r="P46" s="43">
        <v>45810</v>
      </c>
      <c r="Q46" s="20"/>
      <c r="R46" s="20"/>
      <c r="S46" s="20"/>
      <c r="T46" s="20"/>
      <c r="U46" s="20"/>
      <c r="V46" s="13"/>
      <c r="W46" s="12" t="s">
        <v>57</v>
      </c>
      <c r="X46" s="13" t="s">
        <v>45</v>
      </c>
      <c r="Y46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Aramex</v>
      </c>
      <c r="Z46" s="13" t="s">
        <v>369</v>
      </c>
      <c r="AA46" s="20" t="s">
        <v>370</v>
      </c>
      <c r="AB46" s="20" t="s">
        <v>47</v>
      </c>
      <c r="AC46" s="20"/>
      <c r="AD46" s="20" t="s">
        <v>371</v>
      </c>
      <c r="AE46" s="20"/>
      <c r="AF46" s="20"/>
      <c r="AG46" s="20" t="s">
        <v>47</v>
      </c>
      <c r="AH46" s="20" t="s">
        <v>81</v>
      </c>
      <c r="AI46" s="20"/>
      <c r="AJ46"/>
    </row>
    <row r="47" spans="1:36" s="46" customFormat="1" ht="15" customHeight="1" x14ac:dyDescent="0.35">
      <c r="A47" s="12">
        <v>45</v>
      </c>
      <c r="B47" s="12" t="s">
        <v>51</v>
      </c>
      <c r="C47" s="12" t="s">
        <v>36</v>
      </c>
      <c r="D47" s="13" t="s">
        <v>37</v>
      </c>
      <c r="E47" s="12" t="s">
        <v>372</v>
      </c>
      <c r="F47" s="12" t="s">
        <v>359</v>
      </c>
      <c r="G47" s="27" t="s">
        <v>51</v>
      </c>
      <c r="H47" s="27" t="s">
        <v>373</v>
      </c>
      <c r="I47" s="38">
        <v>45733</v>
      </c>
      <c r="J47" s="5" t="s">
        <v>374</v>
      </c>
      <c r="K47" s="39" t="s">
        <v>375</v>
      </c>
      <c r="L47" s="20">
        <v>7407</v>
      </c>
      <c r="M47" s="24">
        <v>50655</v>
      </c>
      <c r="N47" s="20"/>
      <c r="O47" s="42">
        <v>11211071955</v>
      </c>
      <c r="P47" s="31">
        <v>45807</v>
      </c>
      <c r="Q47" s="20"/>
      <c r="R47" s="20"/>
      <c r="S47" s="20"/>
      <c r="T47" s="20"/>
      <c r="U47" s="20"/>
      <c r="V47" s="13" t="s">
        <v>376</v>
      </c>
      <c r="W47" s="12" t="s">
        <v>57</v>
      </c>
      <c r="X47" s="13" t="s">
        <v>377</v>
      </c>
      <c r="Y47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47" s="13" t="s">
        <v>378</v>
      </c>
      <c r="AA47" s="20" t="s">
        <v>379</v>
      </c>
      <c r="AB47" s="20" t="s">
        <v>47</v>
      </c>
      <c r="AC47" s="20"/>
      <c r="AD47" s="20"/>
      <c r="AE47" s="20"/>
      <c r="AF47" s="20"/>
      <c r="AG47" s="20" t="s">
        <v>380</v>
      </c>
      <c r="AH47" s="20"/>
      <c r="AI47" s="20"/>
    </row>
    <row r="48" spans="1:36" ht="15" customHeight="1" x14ac:dyDescent="0.35">
      <c r="A48" s="12">
        <v>46</v>
      </c>
      <c r="B48" s="12" t="s">
        <v>51</v>
      </c>
      <c r="C48" s="12" t="s">
        <v>36</v>
      </c>
      <c r="D48" s="13" t="s">
        <v>381</v>
      </c>
      <c r="E48" s="12" t="s">
        <v>382</v>
      </c>
      <c r="F48" s="13" t="s">
        <v>383</v>
      </c>
      <c r="G48" s="27" t="s">
        <v>51</v>
      </c>
      <c r="H48" s="27" t="s">
        <v>384</v>
      </c>
      <c r="I48" s="25">
        <v>45778</v>
      </c>
      <c r="J48" s="5" t="s">
        <v>385</v>
      </c>
      <c r="K48" s="39" t="s">
        <v>386</v>
      </c>
      <c r="L48" s="20">
        <v>3000</v>
      </c>
      <c r="M48" s="24"/>
      <c r="N48" s="20"/>
      <c r="O48" s="42"/>
      <c r="P48" s="20"/>
      <c r="Q48" s="20"/>
      <c r="R48" s="20"/>
      <c r="S48" s="20"/>
      <c r="T48" s="20"/>
      <c r="U48" s="20"/>
      <c r="V48" s="13" t="s">
        <v>387</v>
      </c>
      <c r="W48" s="12" t="s">
        <v>57</v>
      </c>
      <c r="X48" s="13" t="s">
        <v>201</v>
      </c>
      <c r="Y48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48" s="13" t="s">
        <v>388</v>
      </c>
      <c r="AA48" s="20"/>
      <c r="AB48" s="20" t="s">
        <v>131</v>
      </c>
      <c r="AC48" s="20"/>
      <c r="AD48" s="20"/>
      <c r="AE48" s="20"/>
      <c r="AF48" s="20"/>
      <c r="AG48" s="20"/>
      <c r="AH48" s="20"/>
      <c r="AI48" s="20"/>
      <c r="AJ48"/>
    </row>
    <row r="49" spans="1:36" ht="15" customHeight="1" x14ac:dyDescent="0.35">
      <c r="A49" s="12">
        <v>47</v>
      </c>
      <c r="B49" s="12" t="s">
        <v>35</v>
      </c>
      <c r="C49" s="12" t="s">
        <v>36</v>
      </c>
      <c r="D49" s="13" t="s">
        <v>37</v>
      </c>
      <c r="E49" s="12" t="s">
        <v>38</v>
      </c>
      <c r="F49" s="12" t="s">
        <v>389</v>
      </c>
      <c r="G49" s="27" t="s">
        <v>51</v>
      </c>
      <c r="H49" s="27" t="s">
        <v>390</v>
      </c>
      <c r="I49" s="25">
        <v>45552</v>
      </c>
      <c r="J49" s="33" t="s">
        <v>391</v>
      </c>
      <c r="K49" s="47" t="s">
        <v>392</v>
      </c>
      <c r="L49" s="13" t="s">
        <v>393</v>
      </c>
      <c r="M49" s="24">
        <v>1000</v>
      </c>
      <c r="N49" s="13">
        <v>7504000000</v>
      </c>
      <c r="O49" s="27" t="s">
        <v>394</v>
      </c>
      <c r="P49" s="22">
        <v>45577</v>
      </c>
      <c r="Q49" s="13"/>
      <c r="R49" s="13"/>
      <c r="S49" s="13"/>
      <c r="T49" s="13"/>
      <c r="U49" s="13"/>
      <c r="V49" s="13"/>
      <c r="W49" s="13" t="s">
        <v>57</v>
      </c>
      <c r="X49" s="13" t="s">
        <v>45</v>
      </c>
      <c r="Y49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49" s="13" t="s">
        <v>364</v>
      </c>
      <c r="AA49" s="30" t="s">
        <v>395</v>
      </c>
      <c r="AB49" s="13" t="s">
        <v>47</v>
      </c>
      <c r="AC49" s="13"/>
      <c r="AD49" s="13" t="s">
        <v>320</v>
      </c>
      <c r="AE49" s="13" t="s">
        <v>396</v>
      </c>
      <c r="AF49" s="13"/>
      <c r="AG49" s="13" t="s">
        <v>47</v>
      </c>
      <c r="AH49" s="13" t="s">
        <v>48</v>
      </c>
      <c r="AI49" s="20" t="s">
        <v>49</v>
      </c>
      <c r="AJ49"/>
    </row>
    <row r="50" spans="1:36" s="2" customFormat="1" ht="15" customHeight="1" x14ac:dyDescent="0.35">
      <c r="A50" s="12">
        <v>48</v>
      </c>
      <c r="B50" s="12" t="s">
        <v>35</v>
      </c>
      <c r="C50" s="12" t="s">
        <v>36</v>
      </c>
      <c r="D50" s="13" t="s">
        <v>37</v>
      </c>
      <c r="E50" s="12" t="s">
        <v>38</v>
      </c>
      <c r="F50" s="12" t="s">
        <v>397</v>
      </c>
      <c r="G50" s="27" t="s">
        <v>398</v>
      </c>
      <c r="H50" s="20" t="s">
        <v>399</v>
      </c>
      <c r="I50" s="25">
        <v>45244</v>
      </c>
      <c r="J50" s="5" t="s">
        <v>400</v>
      </c>
      <c r="K50" s="39" t="s">
        <v>401</v>
      </c>
      <c r="L50" s="20">
        <v>5</v>
      </c>
      <c r="M50" s="24">
        <v>16500</v>
      </c>
      <c r="N50" s="20" t="s">
        <v>91</v>
      </c>
      <c r="O50" s="42" t="s">
        <v>402</v>
      </c>
      <c r="P50" s="43">
        <v>45669</v>
      </c>
      <c r="Q50" s="20"/>
      <c r="R50" s="20" t="s">
        <v>403</v>
      </c>
      <c r="S50" s="20"/>
      <c r="T50" s="20"/>
      <c r="U50" s="20"/>
      <c r="V50" s="20"/>
      <c r="W50" s="20" t="s">
        <v>44</v>
      </c>
      <c r="X50" s="20" t="s">
        <v>45</v>
      </c>
      <c r="Y50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50" s="13" t="s">
        <v>104</v>
      </c>
      <c r="AA50" s="20" t="s">
        <v>404</v>
      </c>
      <c r="AB50" s="20" t="s">
        <v>47</v>
      </c>
      <c r="AC50" s="20"/>
      <c r="AD50" s="20" t="s">
        <v>130</v>
      </c>
      <c r="AE50" s="20" t="s">
        <v>47</v>
      </c>
      <c r="AF50" s="20"/>
      <c r="AG50" s="20" t="s">
        <v>47</v>
      </c>
      <c r="AH50" s="20" t="s">
        <v>142</v>
      </c>
      <c r="AI50" s="20" t="s">
        <v>49</v>
      </c>
    </row>
    <row r="51" spans="1:36" ht="15" customHeight="1" x14ac:dyDescent="0.35">
      <c r="A51" s="12">
        <v>49</v>
      </c>
      <c r="B51" s="12" t="s">
        <v>35</v>
      </c>
      <c r="C51" s="12" t="s">
        <v>36</v>
      </c>
      <c r="D51" s="13" t="s">
        <v>37</v>
      </c>
      <c r="E51" s="12" t="s">
        <v>38</v>
      </c>
      <c r="F51" s="12" t="s">
        <v>405</v>
      </c>
      <c r="G51" s="27" t="s">
        <v>406</v>
      </c>
      <c r="H51" s="20" t="s">
        <v>407</v>
      </c>
      <c r="I51" s="25">
        <v>45244</v>
      </c>
      <c r="J51" s="5" t="s">
        <v>408</v>
      </c>
      <c r="K51" s="39" t="s">
        <v>409</v>
      </c>
      <c r="L51" s="20" t="s">
        <v>410</v>
      </c>
      <c r="M51" s="24">
        <v>9000</v>
      </c>
      <c r="N51" s="20"/>
      <c r="O51" s="42" t="s">
        <v>411</v>
      </c>
      <c r="P51" s="43">
        <v>45765</v>
      </c>
      <c r="Q51" s="20" t="s">
        <v>397</v>
      </c>
      <c r="R51" s="20" t="s">
        <v>412</v>
      </c>
      <c r="S51" s="20"/>
      <c r="T51" s="38">
        <v>45650</v>
      </c>
      <c r="U51" s="20"/>
      <c r="V51" s="20"/>
      <c r="W51" s="13" t="s">
        <v>71</v>
      </c>
      <c r="X51" s="20" t="s">
        <v>45</v>
      </c>
      <c r="Y51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51" s="13" t="s">
        <v>104</v>
      </c>
      <c r="AA51" s="20" t="s">
        <v>413</v>
      </c>
      <c r="AB51" s="20" t="s">
        <v>47</v>
      </c>
      <c r="AC51" s="20"/>
      <c r="AD51" s="20" t="s">
        <v>130</v>
      </c>
      <c r="AE51" s="20"/>
      <c r="AF51" s="48" t="s">
        <v>414</v>
      </c>
      <c r="AG51" s="20" t="s">
        <v>47</v>
      </c>
      <c r="AH51" s="20" t="s">
        <v>51</v>
      </c>
      <c r="AI51" s="20"/>
      <c r="AJ51"/>
    </row>
    <row r="52" spans="1:36" ht="15" customHeight="1" x14ac:dyDescent="0.35">
      <c r="A52" s="12">
        <v>50</v>
      </c>
      <c r="B52" s="12" t="s">
        <v>35</v>
      </c>
      <c r="C52" s="12" t="s">
        <v>36</v>
      </c>
      <c r="D52" s="13" t="s">
        <v>37</v>
      </c>
      <c r="E52" s="12" t="s">
        <v>38</v>
      </c>
      <c r="F52" s="12" t="s">
        <v>405</v>
      </c>
      <c r="G52" s="27" t="s">
        <v>51</v>
      </c>
      <c r="H52" s="20" t="s">
        <v>415</v>
      </c>
      <c r="I52" s="25">
        <v>45244</v>
      </c>
      <c r="J52" s="5" t="s">
        <v>416</v>
      </c>
      <c r="K52" s="39" t="s">
        <v>417</v>
      </c>
      <c r="L52" s="20" t="s">
        <v>393</v>
      </c>
      <c r="M52" s="24">
        <v>1000</v>
      </c>
      <c r="N52" s="20">
        <v>7504000000</v>
      </c>
      <c r="O52" s="42" t="s">
        <v>418</v>
      </c>
      <c r="P52" s="43">
        <v>45649</v>
      </c>
      <c r="Q52" s="20" t="s">
        <v>397</v>
      </c>
      <c r="R52" s="20" t="s">
        <v>419</v>
      </c>
      <c r="S52" s="20"/>
      <c r="T52" s="20"/>
      <c r="U52" s="20"/>
      <c r="V52" s="20"/>
      <c r="W52" s="20" t="s">
        <v>57</v>
      </c>
      <c r="X52" s="20" t="s">
        <v>45</v>
      </c>
      <c r="Y52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52" s="13" t="s">
        <v>182</v>
      </c>
      <c r="AA52" s="20" t="s">
        <v>420</v>
      </c>
      <c r="AB52" s="20" t="s">
        <v>47</v>
      </c>
      <c r="AC52" s="20"/>
      <c r="AD52" s="20" t="s">
        <v>320</v>
      </c>
      <c r="AE52" s="20" t="s">
        <v>421</v>
      </c>
      <c r="AF52" s="20"/>
      <c r="AG52" s="20" t="s">
        <v>47</v>
      </c>
      <c r="AH52" s="20" t="s">
        <v>48</v>
      </c>
      <c r="AI52" s="20" t="s">
        <v>49</v>
      </c>
      <c r="AJ52"/>
    </row>
    <row r="53" spans="1:36" ht="15" customHeight="1" x14ac:dyDescent="0.35">
      <c r="A53" s="12">
        <v>51</v>
      </c>
      <c r="B53" s="12" t="s">
        <v>35</v>
      </c>
      <c r="C53" s="12" t="s">
        <v>36</v>
      </c>
      <c r="D53" s="13" t="s">
        <v>37</v>
      </c>
      <c r="E53" s="12" t="s">
        <v>38</v>
      </c>
      <c r="F53" s="12" t="s">
        <v>143</v>
      </c>
      <c r="G53" s="27" t="s">
        <v>51</v>
      </c>
      <c r="H53" s="20" t="s">
        <v>422</v>
      </c>
      <c r="I53" s="27" t="s">
        <v>51</v>
      </c>
      <c r="J53" s="5" t="s">
        <v>423</v>
      </c>
      <c r="K53" s="39" t="s">
        <v>424</v>
      </c>
      <c r="L53" s="20">
        <v>4</v>
      </c>
      <c r="M53" s="24">
        <v>2900</v>
      </c>
      <c r="N53" s="20" t="s">
        <v>425</v>
      </c>
      <c r="O53" s="42" t="s">
        <v>426</v>
      </c>
      <c r="P53" s="43">
        <v>45671</v>
      </c>
      <c r="Q53" s="20"/>
      <c r="R53" s="20" t="s">
        <v>427</v>
      </c>
      <c r="S53" s="20"/>
      <c r="T53" s="20"/>
      <c r="U53" s="20"/>
      <c r="V53" s="20"/>
      <c r="W53" s="20" t="s">
        <v>57</v>
      </c>
      <c r="X53" s="20" t="s">
        <v>45</v>
      </c>
      <c r="Y53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53" s="13" t="s">
        <v>364</v>
      </c>
      <c r="AA53" s="20" t="s">
        <v>428</v>
      </c>
      <c r="AB53" s="20" t="s">
        <v>429</v>
      </c>
      <c r="AC53" s="20"/>
      <c r="AD53" s="20" t="s">
        <v>320</v>
      </c>
      <c r="AE53" s="20" t="s">
        <v>49</v>
      </c>
      <c r="AF53" s="20"/>
      <c r="AG53" s="20" t="s">
        <v>47</v>
      </c>
      <c r="AH53" s="20" t="s">
        <v>142</v>
      </c>
      <c r="AI53" s="20" t="s">
        <v>49</v>
      </c>
      <c r="AJ53"/>
    </row>
    <row r="54" spans="1:36" ht="15" customHeight="1" x14ac:dyDescent="0.35">
      <c r="A54" s="12">
        <v>52</v>
      </c>
      <c r="B54" s="12" t="s">
        <v>35</v>
      </c>
      <c r="C54" s="12" t="s">
        <v>36</v>
      </c>
      <c r="D54" s="13" t="s">
        <v>37</v>
      </c>
      <c r="E54" s="12" t="s">
        <v>38</v>
      </c>
      <c r="F54" s="12" t="s">
        <v>430</v>
      </c>
      <c r="G54" s="27" t="s">
        <v>51</v>
      </c>
      <c r="H54" s="20" t="s">
        <v>431</v>
      </c>
      <c r="I54" s="25">
        <v>45285</v>
      </c>
      <c r="J54" s="5" t="s">
        <v>432</v>
      </c>
      <c r="K54" s="39" t="s">
        <v>433</v>
      </c>
      <c r="L54" s="20" t="s">
        <v>434</v>
      </c>
      <c r="M54" s="24">
        <v>1080</v>
      </c>
      <c r="N54" s="20" t="s">
        <v>435</v>
      </c>
      <c r="O54" s="42" t="s">
        <v>436</v>
      </c>
      <c r="P54" s="43">
        <v>45680</v>
      </c>
      <c r="Q54" s="20"/>
      <c r="R54" s="38">
        <v>45659</v>
      </c>
      <c r="S54" s="20"/>
      <c r="T54" s="20"/>
      <c r="U54" s="20"/>
      <c r="V54" s="20"/>
      <c r="W54" s="20" t="s">
        <v>57</v>
      </c>
      <c r="X54" s="20" t="s">
        <v>45</v>
      </c>
      <c r="Y54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54" s="13" t="s">
        <v>364</v>
      </c>
      <c r="AA54" s="20" t="s">
        <v>437</v>
      </c>
      <c r="AB54" s="20" t="s">
        <v>47</v>
      </c>
      <c r="AC54" s="20"/>
      <c r="AD54" s="20" t="s">
        <v>320</v>
      </c>
      <c r="AE54" s="20" t="s">
        <v>47</v>
      </c>
      <c r="AF54" s="20"/>
      <c r="AG54" s="20" t="s">
        <v>47</v>
      </c>
      <c r="AH54" s="20" t="s">
        <v>48</v>
      </c>
      <c r="AI54" s="20" t="s">
        <v>49</v>
      </c>
      <c r="AJ54"/>
    </row>
    <row r="55" spans="1:36" ht="15" customHeight="1" x14ac:dyDescent="0.35">
      <c r="A55" s="12">
        <v>53</v>
      </c>
      <c r="B55" s="12" t="s">
        <v>35</v>
      </c>
      <c r="C55" s="12" t="s">
        <v>36</v>
      </c>
      <c r="D55" s="13" t="s">
        <v>37</v>
      </c>
      <c r="E55" s="12" t="s">
        <v>38</v>
      </c>
      <c r="F55" s="12" t="s">
        <v>438</v>
      </c>
      <c r="G55" s="27" t="s">
        <v>439</v>
      </c>
      <c r="H55" s="20" t="s">
        <v>440</v>
      </c>
      <c r="I55" s="25">
        <v>45285</v>
      </c>
      <c r="J55" s="5" t="s">
        <v>441</v>
      </c>
      <c r="K55" s="39" t="s">
        <v>442</v>
      </c>
      <c r="L55" s="20">
        <v>3550</v>
      </c>
      <c r="M55" s="24">
        <v>5325</v>
      </c>
      <c r="N55" s="20" t="s">
        <v>443</v>
      </c>
      <c r="O55" s="42" t="s">
        <v>444</v>
      </c>
      <c r="P55" s="43">
        <v>45702</v>
      </c>
      <c r="Q55" s="20"/>
      <c r="R55" s="20"/>
      <c r="S55" s="20"/>
      <c r="T55" s="38">
        <v>45674</v>
      </c>
      <c r="U55" s="20"/>
      <c r="V55" s="20"/>
      <c r="W55" s="13" t="s">
        <v>71</v>
      </c>
      <c r="X55" s="20" t="s">
        <v>45</v>
      </c>
      <c r="Y55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55" s="13" t="s">
        <v>104</v>
      </c>
      <c r="AA55" s="20" t="s">
        <v>445</v>
      </c>
      <c r="AB55" s="20" t="s">
        <v>47</v>
      </c>
      <c r="AC55" s="20"/>
      <c r="AD55" s="20" t="s">
        <v>446</v>
      </c>
      <c r="AE55" s="20" t="s">
        <v>47</v>
      </c>
      <c r="AF55" s="48" t="s">
        <v>414</v>
      </c>
      <c r="AG55" s="20" t="s">
        <v>47</v>
      </c>
      <c r="AH55" s="20" t="s">
        <v>81</v>
      </c>
      <c r="AI55" s="20" t="s">
        <v>49</v>
      </c>
      <c r="AJ55"/>
    </row>
    <row r="56" spans="1:36" ht="15" customHeight="1" x14ac:dyDescent="0.35">
      <c r="A56" s="12">
        <v>54</v>
      </c>
      <c r="B56" s="12" t="s">
        <v>35</v>
      </c>
      <c r="C56" s="12" t="s">
        <v>36</v>
      </c>
      <c r="D56" s="13" t="s">
        <v>37</v>
      </c>
      <c r="E56" s="12" t="s">
        <v>38</v>
      </c>
      <c r="F56" s="12" t="s">
        <v>167</v>
      </c>
      <c r="G56" s="27" t="s">
        <v>447</v>
      </c>
      <c r="H56" s="20" t="s">
        <v>448</v>
      </c>
      <c r="I56" s="25">
        <v>45285</v>
      </c>
      <c r="J56" s="5" t="s">
        <v>449</v>
      </c>
      <c r="K56" s="39" t="s">
        <v>450</v>
      </c>
      <c r="L56" s="20" t="s">
        <v>451</v>
      </c>
      <c r="M56" s="24">
        <v>4000</v>
      </c>
      <c r="N56" s="20">
        <v>7506100000</v>
      </c>
      <c r="O56" s="42" t="s">
        <v>452</v>
      </c>
      <c r="P56" s="43">
        <v>45699</v>
      </c>
      <c r="Q56" s="20"/>
      <c r="R56" s="20"/>
      <c r="S56" s="20"/>
      <c r="T56" s="38">
        <v>45675</v>
      </c>
      <c r="U56" s="20"/>
      <c r="V56" s="20"/>
      <c r="W56" s="13" t="s">
        <v>71</v>
      </c>
      <c r="X56" s="20" t="s">
        <v>45</v>
      </c>
      <c r="Y56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56" s="13" t="s">
        <v>104</v>
      </c>
      <c r="AA56" s="20" t="s">
        <v>453</v>
      </c>
      <c r="AB56" s="20" t="s">
        <v>47</v>
      </c>
      <c r="AC56" s="20"/>
      <c r="AD56" s="20" t="s">
        <v>446</v>
      </c>
      <c r="AE56" s="20" t="s">
        <v>47</v>
      </c>
      <c r="AF56" s="48" t="s">
        <v>414</v>
      </c>
      <c r="AG56" s="20" t="s">
        <v>47</v>
      </c>
      <c r="AH56" s="20" t="s">
        <v>81</v>
      </c>
      <c r="AI56" s="20" t="s">
        <v>454</v>
      </c>
      <c r="AJ56"/>
    </row>
    <row r="57" spans="1:36" ht="15" customHeight="1" x14ac:dyDescent="0.35">
      <c r="A57" s="12">
        <v>55</v>
      </c>
      <c r="B57" s="12" t="s">
        <v>35</v>
      </c>
      <c r="C57" s="12" t="s">
        <v>36</v>
      </c>
      <c r="D57" s="13" t="s">
        <v>37</v>
      </c>
      <c r="E57" s="12" t="s">
        <v>38</v>
      </c>
      <c r="F57" s="12" t="s">
        <v>455</v>
      </c>
      <c r="G57" s="27" t="s">
        <v>51</v>
      </c>
      <c r="H57" s="20" t="s">
        <v>456</v>
      </c>
      <c r="I57" s="25">
        <v>45290</v>
      </c>
      <c r="J57" s="5" t="s">
        <v>457</v>
      </c>
      <c r="K57" s="39" t="s">
        <v>458</v>
      </c>
      <c r="L57" s="20" t="s">
        <v>459</v>
      </c>
      <c r="M57" s="24">
        <v>215</v>
      </c>
      <c r="N57" s="20">
        <v>8523510090</v>
      </c>
      <c r="O57" s="49">
        <v>35653571844</v>
      </c>
      <c r="P57" s="43">
        <v>45666</v>
      </c>
      <c r="Q57" s="20"/>
      <c r="R57" s="20"/>
      <c r="S57" s="20"/>
      <c r="T57" s="20"/>
      <c r="U57" s="20"/>
      <c r="V57" s="20"/>
      <c r="W57" s="20" t="s">
        <v>57</v>
      </c>
      <c r="X57" s="20" t="s">
        <v>45</v>
      </c>
      <c r="Y57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Aramex</v>
      </c>
      <c r="Z57" s="13" t="s">
        <v>460</v>
      </c>
      <c r="AA57" s="20"/>
      <c r="AB57" s="20" t="s">
        <v>47</v>
      </c>
      <c r="AC57" s="20"/>
      <c r="AD57" s="20" t="s">
        <v>320</v>
      </c>
      <c r="AE57" s="20" t="s">
        <v>47</v>
      </c>
      <c r="AF57" s="20"/>
      <c r="AG57" s="20" t="s">
        <v>47</v>
      </c>
      <c r="AH57" s="20" t="s">
        <v>48</v>
      </c>
      <c r="AI57" s="20" t="s">
        <v>49</v>
      </c>
      <c r="AJ57"/>
    </row>
    <row r="58" spans="1:36" ht="15" customHeight="1" x14ac:dyDescent="0.35">
      <c r="A58" s="12">
        <v>56</v>
      </c>
      <c r="B58" s="13" t="s">
        <v>461</v>
      </c>
      <c r="C58" s="12" t="s">
        <v>36</v>
      </c>
      <c r="D58" s="13" t="s">
        <v>772</v>
      </c>
      <c r="E58" s="12" t="s">
        <v>51</v>
      </c>
      <c r="F58" s="12" t="s">
        <v>213</v>
      </c>
      <c r="G58" s="27" t="s">
        <v>462</v>
      </c>
      <c r="H58" s="20" t="s">
        <v>463</v>
      </c>
      <c r="I58" s="27" t="s">
        <v>51</v>
      </c>
      <c r="J58" s="28" t="s">
        <v>125</v>
      </c>
      <c r="K58" s="20" t="s">
        <v>126</v>
      </c>
      <c r="L58" s="50" t="s">
        <v>464</v>
      </c>
      <c r="M58" s="24">
        <v>14000</v>
      </c>
      <c r="N58" s="20"/>
      <c r="O58" s="42"/>
      <c r="P58" s="20"/>
      <c r="Q58" s="20"/>
      <c r="R58" s="20"/>
      <c r="S58" s="20"/>
      <c r="T58" s="20"/>
      <c r="U58" s="20"/>
      <c r="V58" s="20"/>
      <c r="W58" s="20" t="s">
        <v>51</v>
      </c>
      <c r="X58" s="20" t="s">
        <v>45</v>
      </c>
      <c r="Y58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58" s="13"/>
      <c r="AA58" s="20"/>
      <c r="AB58" s="20"/>
      <c r="AC58" s="20"/>
      <c r="AD58" s="20"/>
      <c r="AE58" s="20"/>
      <c r="AF58" s="20"/>
      <c r="AG58" s="20"/>
      <c r="AH58" s="20" t="s">
        <v>51</v>
      </c>
      <c r="AI58" s="20"/>
      <c r="AJ58"/>
    </row>
    <row r="59" spans="1:36" ht="15" customHeight="1" x14ac:dyDescent="0.35">
      <c r="A59" s="12">
        <v>57</v>
      </c>
      <c r="B59" s="12" t="s">
        <v>35</v>
      </c>
      <c r="C59" s="12" t="s">
        <v>36</v>
      </c>
      <c r="D59" s="13" t="s">
        <v>37</v>
      </c>
      <c r="E59" s="12" t="s">
        <v>38</v>
      </c>
      <c r="F59" s="12" t="s">
        <v>167</v>
      </c>
      <c r="G59" s="27" t="s">
        <v>51</v>
      </c>
      <c r="H59" s="20" t="s">
        <v>465</v>
      </c>
      <c r="I59" s="25">
        <v>45680</v>
      </c>
      <c r="J59" s="28" t="s">
        <v>466</v>
      </c>
      <c r="K59" s="20" t="s">
        <v>467</v>
      </c>
      <c r="L59" s="50" t="s">
        <v>468</v>
      </c>
      <c r="M59" s="24">
        <v>250</v>
      </c>
      <c r="N59" s="20">
        <v>8523510090</v>
      </c>
      <c r="O59" s="42" t="s">
        <v>469</v>
      </c>
      <c r="P59" s="43">
        <v>45696</v>
      </c>
      <c r="Q59" s="20"/>
      <c r="R59" s="20"/>
      <c r="S59" s="20"/>
      <c r="T59" s="20"/>
      <c r="U59" s="20"/>
      <c r="V59" s="20"/>
      <c r="W59" s="20" t="s">
        <v>57</v>
      </c>
      <c r="X59" s="20" t="s">
        <v>45</v>
      </c>
      <c r="Y59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59" s="13" t="s">
        <v>470</v>
      </c>
      <c r="AA59" s="20" t="s">
        <v>471</v>
      </c>
      <c r="AB59" s="20" t="s">
        <v>47</v>
      </c>
      <c r="AC59" s="20"/>
      <c r="AD59" s="20" t="s">
        <v>320</v>
      </c>
      <c r="AE59" s="20" t="s">
        <v>47</v>
      </c>
      <c r="AF59" s="20"/>
      <c r="AG59" s="20" t="s">
        <v>47</v>
      </c>
      <c r="AH59" s="20" t="s">
        <v>48</v>
      </c>
      <c r="AI59" s="20" t="s">
        <v>49</v>
      </c>
      <c r="AJ59"/>
    </row>
    <row r="60" spans="1:36" ht="15" customHeight="1" x14ac:dyDescent="0.35">
      <c r="A60" s="12">
        <v>58</v>
      </c>
      <c r="B60" s="12" t="s">
        <v>35</v>
      </c>
      <c r="C60" s="12" t="s">
        <v>36</v>
      </c>
      <c r="D60" s="13" t="s">
        <v>37</v>
      </c>
      <c r="E60" s="12" t="s">
        <v>153</v>
      </c>
      <c r="F60" s="12" t="s">
        <v>472</v>
      </c>
      <c r="G60" s="27" t="s">
        <v>51</v>
      </c>
      <c r="H60" s="13" t="s">
        <v>473</v>
      </c>
      <c r="I60" s="27" t="s">
        <v>51</v>
      </c>
      <c r="J60" s="28" t="s">
        <v>474</v>
      </c>
      <c r="K60" s="20" t="s">
        <v>475</v>
      </c>
      <c r="L60" s="50">
        <v>1</v>
      </c>
      <c r="M60" s="24">
        <v>3500</v>
      </c>
      <c r="N60" s="20">
        <v>8477200000</v>
      </c>
      <c r="O60" s="42" t="s">
        <v>476</v>
      </c>
      <c r="P60" s="43">
        <v>45729</v>
      </c>
      <c r="Q60" s="51" t="s">
        <v>477</v>
      </c>
      <c r="R60" s="45">
        <v>45710</v>
      </c>
      <c r="S60" s="20" t="s">
        <v>478</v>
      </c>
      <c r="T60" s="20"/>
      <c r="U60" s="20"/>
      <c r="V60" s="20"/>
      <c r="W60" s="20" t="s">
        <v>57</v>
      </c>
      <c r="X60" s="20" t="s">
        <v>329</v>
      </c>
      <c r="Y60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60" s="13" t="s">
        <v>104</v>
      </c>
      <c r="AA60" s="20" t="s">
        <v>479</v>
      </c>
      <c r="AB60" s="20" t="s">
        <v>47</v>
      </c>
      <c r="AC60" s="20"/>
      <c r="AD60" s="20" t="s">
        <v>320</v>
      </c>
      <c r="AE60" s="20"/>
      <c r="AF60" s="48" t="s">
        <v>414</v>
      </c>
      <c r="AG60" s="20" t="s">
        <v>47</v>
      </c>
      <c r="AH60" s="20" t="s">
        <v>81</v>
      </c>
      <c r="AI60" s="20" t="s">
        <v>49</v>
      </c>
      <c r="AJ60"/>
    </row>
    <row r="61" spans="1:36" ht="15" customHeight="1" x14ac:dyDescent="0.35">
      <c r="A61" s="12">
        <v>59</v>
      </c>
      <c r="B61" s="12" t="s">
        <v>35</v>
      </c>
      <c r="C61" s="12" t="s">
        <v>36</v>
      </c>
      <c r="D61" s="13" t="s">
        <v>37</v>
      </c>
      <c r="E61" s="12" t="s">
        <v>153</v>
      </c>
      <c r="F61" s="12" t="s">
        <v>480</v>
      </c>
      <c r="G61" s="27" t="s">
        <v>51</v>
      </c>
      <c r="H61" s="13" t="s">
        <v>481</v>
      </c>
      <c r="I61" s="25">
        <v>45720</v>
      </c>
      <c r="J61" s="28" t="s">
        <v>480</v>
      </c>
      <c r="K61" s="20" t="s">
        <v>458</v>
      </c>
      <c r="L61" s="29">
        <v>1</v>
      </c>
      <c r="M61" s="24">
        <v>108</v>
      </c>
      <c r="N61" s="20">
        <v>9002900090</v>
      </c>
      <c r="O61" s="42" t="s">
        <v>482</v>
      </c>
      <c r="P61" s="43">
        <v>45727</v>
      </c>
      <c r="Q61" s="51"/>
      <c r="R61" s="45"/>
      <c r="S61" s="20"/>
      <c r="T61" s="20"/>
      <c r="U61" s="20"/>
      <c r="V61" s="20"/>
      <c r="W61" s="20" t="s">
        <v>57</v>
      </c>
      <c r="X61" s="20" t="s">
        <v>329</v>
      </c>
      <c r="Y61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61" s="13" t="s">
        <v>483</v>
      </c>
      <c r="AA61" s="20" t="s">
        <v>484</v>
      </c>
      <c r="AB61" s="20" t="s">
        <v>341</v>
      </c>
      <c r="AC61" s="20"/>
      <c r="AD61" s="20" t="s">
        <v>320</v>
      </c>
      <c r="AE61" s="20" t="s">
        <v>47</v>
      </c>
      <c r="AF61" s="20"/>
      <c r="AG61" s="20" t="s">
        <v>47</v>
      </c>
      <c r="AH61" s="20" t="s">
        <v>48</v>
      </c>
      <c r="AI61" s="20" t="s">
        <v>49</v>
      </c>
      <c r="AJ61"/>
    </row>
    <row r="62" spans="1:36" ht="15" customHeight="1" x14ac:dyDescent="0.35">
      <c r="A62" s="12">
        <v>60</v>
      </c>
      <c r="B62" s="12" t="s">
        <v>35</v>
      </c>
      <c r="C62" s="12" t="s">
        <v>36</v>
      </c>
      <c r="D62" s="13" t="s">
        <v>37</v>
      </c>
      <c r="E62" s="12" t="s">
        <v>38</v>
      </c>
      <c r="F62" s="12" t="s">
        <v>455</v>
      </c>
      <c r="G62" s="27" t="s">
        <v>51</v>
      </c>
      <c r="H62" s="13" t="s">
        <v>485</v>
      </c>
      <c r="I62" s="25">
        <v>45728</v>
      </c>
      <c r="J62" s="28" t="s">
        <v>486</v>
      </c>
      <c r="K62" s="20" t="s">
        <v>487</v>
      </c>
      <c r="L62" s="50" t="s">
        <v>488</v>
      </c>
      <c r="M62" s="24">
        <v>120</v>
      </c>
      <c r="N62" s="20"/>
      <c r="O62" s="49">
        <v>4537379070</v>
      </c>
      <c r="P62" s="43">
        <v>45780</v>
      </c>
      <c r="Q62" s="51"/>
      <c r="R62" s="45"/>
      <c r="S62" s="20"/>
      <c r="T62" s="20"/>
      <c r="U62" s="20"/>
      <c r="V62" s="20"/>
      <c r="W62" s="20" t="s">
        <v>57</v>
      </c>
      <c r="X62" s="20" t="s">
        <v>45</v>
      </c>
      <c r="Y62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DHL</v>
      </c>
      <c r="Z62" s="13" t="s">
        <v>489</v>
      </c>
      <c r="AA62" s="20"/>
      <c r="AB62" s="20" t="s">
        <v>341</v>
      </c>
      <c r="AC62" s="20"/>
      <c r="AD62" s="20" t="s">
        <v>320</v>
      </c>
      <c r="AE62" s="20"/>
      <c r="AF62" s="20"/>
      <c r="AG62" s="20" t="s">
        <v>47</v>
      </c>
      <c r="AH62" s="20" t="s">
        <v>51</v>
      </c>
      <c r="AI62" s="20"/>
      <c r="AJ62"/>
    </row>
    <row r="63" spans="1:36" ht="15" customHeight="1" x14ac:dyDescent="0.35">
      <c r="A63" s="12">
        <v>61</v>
      </c>
      <c r="B63" s="12" t="s">
        <v>35</v>
      </c>
      <c r="C63" s="12" t="s">
        <v>36</v>
      </c>
      <c r="D63" s="13" t="s">
        <v>37</v>
      </c>
      <c r="E63" s="12" t="s">
        <v>38</v>
      </c>
      <c r="F63" s="12" t="s">
        <v>187</v>
      </c>
      <c r="G63" s="27" t="s">
        <v>51</v>
      </c>
      <c r="H63" s="13" t="s">
        <v>490</v>
      </c>
      <c r="I63" s="25">
        <v>45734</v>
      </c>
      <c r="J63" s="28" t="s">
        <v>491</v>
      </c>
      <c r="K63" s="20" t="s">
        <v>492</v>
      </c>
      <c r="L63" s="13">
        <v>1</v>
      </c>
      <c r="M63" s="24">
        <v>800</v>
      </c>
      <c r="N63" s="20"/>
      <c r="O63" s="42" t="s">
        <v>493</v>
      </c>
      <c r="P63" s="43">
        <v>45780</v>
      </c>
      <c r="Q63" s="51"/>
      <c r="R63" s="45"/>
      <c r="S63" s="20"/>
      <c r="T63" s="20"/>
      <c r="U63" s="20"/>
      <c r="V63" s="20"/>
      <c r="W63" s="20" t="s">
        <v>57</v>
      </c>
      <c r="X63" s="20" t="s">
        <v>45</v>
      </c>
      <c r="Y63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63" s="13" t="s">
        <v>364</v>
      </c>
      <c r="AA63" s="20" t="s">
        <v>494</v>
      </c>
      <c r="AB63" s="20" t="s">
        <v>47</v>
      </c>
      <c r="AC63" s="20"/>
      <c r="AD63" s="20" t="s">
        <v>320</v>
      </c>
      <c r="AE63" s="20"/>
      <c r="AF63" s="20"/>
      <c r="AG63" s="20" t="s">
        <v>47</v>
      </c>
      <c r="AH63" s="20" t="s">
        <v>51</v>
      </c>
      <c r="AI63" s="20"/>
      <c r="AJ63"/>
    </row>
    <row r="64" spans="1:36" ht="15" customHeight="1" x14ac:dyDescent="0.35">
      <c r="A64" s="12">
        <v>62</v>
      </c>
      <c r="B64" s="12" t="s">
        <v>35</v>
      </c>
      <c r="C64" s="12" t="s">
        <v>36</v>
      </c>
      <c r="D64" s="13" t="s">
        <v>37</v>
      </c>
      <c r="E64" s="12" t="s">
        <v>153</v>
      </c>
      <c r="F64" s="12" t="s">
        <v>154</v>
      </c>
      <c r="G64" s="27" t="s">
        <v>51</v>
      </c>
      <c r="H64" s="27" t="s">
        <v>495</v>
      </c>
      <c r="I64" s="25">
        <v>45748</v>
      </c>
      <c r="J64" s="28" t="s">
        <v>496</v>
      </c>
      <c r="K64" s="20" t="s">
        <v>497</v>
      </c>
      <c r="L64" s="29">
        <v>2</v>
      </c>
      <c r="M64" s="24">
        <v>3500</v>
      </c>
      <c r="N64" s="20"/>
      <c r="O64" s="42" t="s">
        <v>498</v>
      </c>
      <c r="P64" s="43">
        <v>45811</v>
      </c>
      <c r="Q64" s="51"/>
      <c r="R64" s="45"/>
      <c r="S64" s="20"/>
      <c r="T64" s="20"/>
      <c r="U64" s="20"/>
      <c r="V64" s="20"/>
      <c r="W64" s="12" t="s">
        <v>57</v>
      </c>
      <c r="X64" s="20" t="s">
        <v>154</v>
      </c>
      <c r="Y64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64" s="13" t="s">
        <v>364</v>
      </c>
      <c r="AA64" s="20" t="s">
        <v>499</v>
      </c>
      <c r="AB64" s="20" t="s">
        <v>47</v>
      </c>
      <c r="AC64" s="20" t="s">
        <v>371</v>
      </c>
      <c r="AD64" s="20"/>
      <c r="AE64" s="20"/>
      <c r="AF64" s="20"/>
      <c r="AG64" s="13" t="s">
        <v>47</v>
      </c>
      <c r="AH64" s="20" t="s">
        <v>81</v>
      </c>
      <c r="AI64" s="20"/>
      <c r="AJ64"/>
    </row>
    <row r="65" spans="1:36" ht="15" customHeight="1" x14ac:dyDescent="0.35">
      <c r="A65" s="12">
        <v>63</v>
      </c>
      <c r="B65" s="12" t="s">
        <v>35</v>
      </c>
      <c r="C65" s="12" t="s">
        <v>36</v>
      </c>
      <c r="D65" s="13" t="s">
        <v>37</v>
      </c>
      <c r="E65" s="12" t="s">
        <v>153</v>
      </c>
      <c r="F65" s="12" t="s">
        <v>154</v>
      </c>
      <c r="G65" s="27" t="s">
        <v>51</v>
      </c>
      <c r="H65" s="27" t="s">
        <v>500</v>
      </c>
      <c r="I65" s="25">
        <v>45748</v>
      </c>
      <c r="J65" s="28" t="s">
        <v>496</v>
      </c>
      <c r="K65" s="20" t="s">
        <v>497</v>
      </c>
      <c r="L65" s="29">
        <v>2</v>
      </c>
      <c r="M65" s="24">
        <v>3500</v>
      </c>
      <c r="N65" s="20"/>
      <c r="O65" s="42" t="s">
        <v>498</v>
      </c>
      <c r="P65" s="43">
        <v>45845</v>
      </c>
      <c r="Q65" s="51"/>
      <c r="R65" s="45"/>
      <c r="S65" s="20"/>
      <c r="T65" s="20"/>
      <c r="U65" s="20"/>
      <c r="V65" s="20"/>
      <c r="W65" s="12" t="s">
        <v>57</v>
      </c>
      <c r="X65" s="20" t="s">
        <v>154</v>
      </c>
      <c r="Y65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65" s="13" t="s">
        <v>364</v>
      </c>
      <c r="AA65" s="20" t="s">
        <v>501</v>
      </c>
      <c r="AB65" s="20" t="s">
        <v>47</v>
      </c>
      <c r="AC65" s="20" t="s">
        <v>371</v>
      </c>
      <c r="AD65" s="20"/>
      <c r="AE65" s="20"/>
      <c r="AF65" s="20"/>
      <c r="AG65" s="13" t="s">
        <v>47</v>
      </c>
      <c r="AH65" s="20" t="s">
        <v>81</v>
      </c>
      <c r="AI65" s="20"/>
      <c r="AJ65"/>
    </row>
    <row r="66" spans="1:36" ht="15" customHeight="1" x14ac:dyDescent="0.35">
      <c r="A66" s="12">
        <v>64</v>
      </c>
      <c r="B66" s="12" t="s">
        <v>35</v>
      </c>
      <c r="C66" s="12" t="s">
        <v>36</v>
      </c>
      <c r="D66" s="13" t="s">
        <v>37</v>
      </c>
      <c r="E66" s="12" t="s">
        <v>153</v>
      </c>
      <c r="F66" s="12" t="s">
        <v>254</v>
      </c>
      <c r="G66" s="27" t="s">
        <v>51</v>
      </c>
      <c r="H66" s="27" t="s">
        <v>502</v>
      </c>
      <c r="I66" s="25">
        <v>45583</v>
      </c>
      <c r="J66" s="28" t="s">
        <v>503</v>
      </c>
      <c r="K66" s="20" t="s">
        <v>504</v>
      </c>
      <c r="L66" s="29">
        <v>2</v>
      </c>
      <c r="M66" s="24">
        <v>17000</v>
      </c>
      <c r="N66" s="20"/>
      <c r="O66" s="42" t="s">
        <v>505</v>
      </c>
      <c r="P66" s="43">
        <v>45794</v>
      </c>
      <c r="Q66" s="51"/>
      <c r="R66" s="45"/>
      <c r="S66" s="20"/>
      <c r="T66" s="20"/>
      <c r="U66" s="20"/>
      <c r="V66" s="20"/>
      <c r="W66" s="12" t="s">
        <v>57</v>
      </c>
      <c r="X66" s="20" t="s">
        <v>506</v>
      </c>
      <c r="Y66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66" s="13" t="s">
        <v>364</v>
      </c>
      <c r="AA66" s="20" t="s">
        <v>507</v>
      </c>
      <c r="AB66" s="20" t="s">
        <v>47</v>
      </c>
      <c r="AC66" s="20" t="s">
        <v>371</v>
      </c>
      <c r="AD66" s="20"/>
      <c r="AE66" s="20"/>
      <c r="AF66" s="20"/>
      <c r="AG66" s="20" t="s">
        <v>47</v>
      </c>
      <c r="AH66" s="20" t="s">
        <v>81</v>
      </c>
      <c r="AI66" s="20"/>
      <c r="AJ66"/>
    </row>
    <row r="67" spans="1:36" ht="15" customHeight="1" x14ac:dyDescent="0.35">
      <c r="A67" s="12">
        <v>65</v>
      </c>
      <c r="B67" s="12" t="s">
        <v>35</v>
      </c>
      <c r="C67" s="12" t="s">
        <v>36</v>
      </c>
      <c r="D67" s="13" t="s">
        <v>37</v>
      </c>
      <c r="E67" s="12" t="s">
        <v>153</v>
      </c>
      <c r="F67" s="12" t="s">
        <v>161</v>
      </c>
      <c r="G67" s="27" t="s">
        <v>51</v>
      </c>
      <c r="H67" s="13" t="s">
        <v>508</v>
      </c>
      <c r="I67" s="25">
        <v>45770</v>
      </c>
      <c r="J67" s="28" t="s">
        <v>509</v>
      </c>
      <c r="K67" s="20" t="s">
        <v>243</v>
      </c>
      <c r="L67" s="50">
        <v>6</v>
      </c>
      <c r="M67" s="24">
        <v>12000</v>
      </c>
      <c r="N67" s="20"/>
      <c r="O67" s="42" t="s">
        <v>510</v>
      </c>
      <c r="P67" s="43">
        <v>45791</v>
      </c>
      <c r="Q67" s="51"/>
      <c r="R67" s="45"/>
      <c r="S67" s="20"/>
      <c r="T67" s="20"/>
      <c r="U67" s="20"/>
      <c r="V67" s="20"/>
      <c r="W67" s="12" t="s">
        <v>57</v>
      </c>
      <c r="X67" s="20" t="s">
        <v>161</v>
      </c>
      <c r="Y67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67" s="13" t="s">
        <v>364</v>
      </c>
      <c r="AA67" s="20" t="s">
        <v>511</v>
      </c>
      <c r="AB67" s="20" t="s">
        <v>512</v>
      </c>
      <c r="AC67" s="20" t="s">
        <v>371</v>
      </c>
      <c r="AD67" s="20"/>
      <c r="AE67" s="20"/>
      <c r="AF67" s="20"/>
      <c r="AG67" s="20" t="s">
        <v>47</v>
      </c>
      <c r="AH67" s="20" t="s">
        <v>81</v>
      </c>
      <c r="AI67" s="20"/>
      <c r="AJ67"/>
    </row>
    <row r="68" spans="1:36" ht="15" customHeight="1" x14ac:dyDescent="0.35">
      <c r="A68" s="12">
        <v>66</v>
      </c>
      <c r="B68" s="12" t="s">
        <v>35</v>
      </c>
      <c r="C68" s="12" t="s">
        <v>36</v>
      </c>
      <c r="D68" s="13" t="s">
        <v>37</v>
      </c>
      <c r="E68" s="12" t="s">
        <v>38</v>
      </c>
      <c r="F68" s="12" t="s">
        <v>397</v>
      </c>
      <c r="G68" s="27" t="s">
        <v>513</v>
      </c>
      <c r="H68" s="13" t="s">
        <v>514</v>
      </c>
      <c r="I68" s="25">
        <v>45748</v>
      </c>
      <c r="J68" s="5" t="s">
        <v>515</v>
      </c>
      <c r="K68" s="20" t="s">
        <v>516</v>
      </c>
      <c r="L68" s="29">
        <v>6</v>
      </c>
      <c r="M68" s="24">
        <v>13000</v>
      </c>
      <c r="N68" s="20"/>
      <c r="O68" s="42" t="s">
        <v>517</v>
      </c>
      <c r="P68" s="43">
        <v>45810</v>
      </c>
      <c r="Q68" s="51"/>
      <c r="R68" s="38">
        <v>45785</v>
      </c>
      <c r="S68" s="38">
        <v>45760</v>
      </c>
      <c r="T68" s="20"/>
      <c r="U68" s="20"/>
      <c r="V68" s="20"/>
      <c r="W68" s="20" t="s">
        <v>44</v>
      </c>
      <c r="X68" s="20" t="s">
        <v>45</v>
      </c>
      <c r="Y68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68" s="13" t="s">
        <v>518</v>
      </c>
      <c r="AA68" s="20" t="s">
        <v>519</v>
      </c>
      <c r="AB68" s="20" t="s">
        <v>47</v>
      </c>
      <c r="AC68" s="20" t="s">
        <v>520</v>
      </c>
      <c r="AD68" s="20"/>
      <c r="AE68" s="20"/>
      <c r="AF68" s="20"/>
      <c r="AG68" s="13" t="s">
        <v>47</v>
      </c>
      <c r="AH68" s="20" t="s">
        <v>81</v>
      </c>
      <c r="AI68" s="20"/>
      <c r="AJ68"/>
    </row>
    <row r="69" spans="1:36" ht="15" customHeight="1" x14ac:dyDescent="0.35">
      <c r="A69" s="12">
        <v>67</v>
      </c>
      <c r="B69" s="12" t="s">
        <v>35</v>
      </c>
      <c r="C69" s="12" t="s">
        <v>36</v>
      </c>
      <c r="D69" s="13" t="s">
        <v>37</v>
      </c>
      <c r="E69" s="12" t="s">
        <v>153</v>
      </c>
      <c r="F69" s="12" t="s">
        <v>521</v>
      </c>
      <c r="G69" s="20" t="s">
        <v>51</v>
      </c>
      <c r="H69" s="13" t="s">
        <v>522</v>
      </c>
      <c r="I69" s="25">
        <v>45763</v>
      </c>
      <c r="J69" s="5" t="s">
        <v>523</v>
      </c>
      <c r="K69" s="39" t="s">
        <v>524</v>
      </c>
      <c r="L69" s="20">
        <v>15</v>
      </c>
      <c r="M69" s="52">
        <v>5470</v>
      </c>
      <c r="N69" s="20"/>
      <c r="O69" s="42" t="s">
        <v>525</v>
      </c>
      <c r="P69" s="43">
        <v>45812</v>
      </c>
      <c r="Q69" s="20"/>
      <c r="R69" s="20"/>
      <c r="S69" s="20"/>
      <c r="T69" s="20"/>
      <c r="U69" s="20"/>
      <c r="V69" s="20"/>
      <c r="W69" s="12" t="s">
        <v>57</v>
      </c>
      <c r="X69" s="20" t="s">
        <v>526</v>
      </c>
      <c r="Y69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69" s="20" t="s">
        <v>364</v>
      </c>
      <c r="AA69" s="20" t="s">
        <v>527</v>
      </c>
      <c r="AB69" s="20" t="s">
        <v>47</v>
      </c>
      <c r="AC69" s="20" t="s">
        <v>371</v>
      </c>
      <c r="AD69" s="20"/>
      <c r="AE69" s="20"/>
      <c r="AF69" s="20"/>
      <c r="AG69" s="13" t="s">
        <v>47</v>
      </c>
      <c r="AH69" s="20" t="s">
        <v>81</v>
      </c>
      <c r="AI69" s="20"/>
      <c r="AJ69"/>
    </row>
    <row r="70" spans="1:36" ht="15" customHeight="1" x14ac:dyDescent="0.35">
      <c r="A70" s="12">
        <v>68</v>
      </c>
      <c r="B70" s="12" t="s">
        <v>51</v>
      </c>
      <c r="C70" s="12" t="s">
        <v>36</v>
      </c>
      <c r="D70" s="13" t="s">
        <v>37</v>
      </c>
      <c r="E70" s="12" t="s">
        <v>372</v>
      </c>
      <c r="F70" s="12" t="s">
        <v>528</v>
      </c>
      <c r="G70" s="20" t="s">
        <v>51</v>
      </c>
      <c r="H70" s="13" t="s">
        <v>529</v>
      </c>
      <c r="I70" s="25">
        <v>45763</v>
      </c>
      <c r="J70" s="5" t="s">
        <v>530</v>
      </c>
      <c r="K70" s="39" t="s">
        <v>531</v>
      </c>
      <c r="L70" s="20">
        <v>4</v>
      </c>
      <c r="M70" s="52">
        <v>11200</v>
      </c>
      <c r="N70" s="20"/>
      <c r="O70" s="42" t="s">
        <v>532</v>
      </c>
      <c r="P70" s="31">
        <v>45792</v>
      </c>
      <c r="Q70" s="20"/>
      <c r="R70" s="20"/>
      <c r="S70" s="20"/>
      <c r="T70" s="20"/>
      <c r="U70" s="20"/>
      <c r="V70" s="20"/>
      <c r="W70" s="12" t="s">
        <v>57</v>
      </c>
      <c r="X70" s="20" t="s">
        <v>533</v>
      </c>
      <c r="Y70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70" s="13" t="s">
        <v>518</v>
      </c>
      <c r="AA70" s="20" t="s">
        <v>534</v>
      </c>
      <c r="AB70" s="20" t="s">
        <v>535</v>
      </c>
      <c r="AC70" s="20" t="s">
        <v>51</v>
      </c>
      <c r="AD70" s="20"/>
      <c r="AE70" s="20" t="s">
        <v>51</v>
      </c>
      <c r="AF70" s="20" t="s">
        <v>51</v>
      </c>
      <c r="AG70" s="20" t="s">
        <v>380</v>
      </c>
      <c r="AH70" s="20"/>
      <c r="AI70" s="20"/>
      <c r="AJ70"/>
    </row>
    <row r="71" spans="1:36" ht="15" customHeight="1" x14ac:dyDescent="0.35">
      <c r="A71" s="12">
        <v>69</v>
      </c>
      <c r="B71" s="12" t="s">
        <v>35</v>
      </c>
      <c r="C71" s="12" t="s">
        <v>36</v>
      </c>
      <c r="D71" s="13" t="s">
        <v>37</v>
      </c>
      <c r="E71" s="12" t="s">
        <v>38</v>
      </c>
      <c r="F71" s="12" t="s">
        <v>455</v>
      </c>
      <c r="G71" s="27" t="s">
        <v>51</v>
      </c>
      <c r="H71" s="13" t="s">
        <v>536</v>
      </c>
      <c r="I71" s="25"/>
      <c r="J71" s="5" t="s">
        <v>537</v>
      </c>
      <c r="K71" s="20" t="s">
        <v>538</v>
      </c>
      <c r="L71" s="50">
        <v>34</v>
      </c>
      <c r="M71" s="24" t="s">
        <v>539</v>
      </c>
      <c r="N71" s="20"/>
      <c r="O71" s="49" t="s">
        <v>540</v>
      </c>
      <c r="P71" s="43">
        <v>45790</v>
      </c>
      <c r="Q71" s="20"/>
      <c r="R71" s="20"/>
      <c r="S71" s="20"/>
      <c r="T71" s="20"/>
      <c r="U71" s="20"/>
      <c r="V71" s="20"/>
      <c r="W71" s="12" t="s">
        <v>57</v>
      </c>
      <c r="X71" s="20" t="s">
        <v>45</v>
      </c>
      <c r="Y71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71" s="13" t="s">
        <v>541</v>
      </c>
      <c r="AA71" s="20" t="s">
        <v>542</v>
      </c>
      <c r="AB71" s="20" t="s">
        <v>131</v>
      </c>
      <c r="AC71" s="20" t="s">
        <v>371</v>
      </c>
      <c r="AD71" s="20" t="s">
        <v>320</v>
      </c>
      <c r="AE71" s="20"/>
      <c r="AF71" s="20"/>
      <c r="AG71" s="20" t="s">
        <v>47</v>
      </c>
      <c r="AH71" s="20" t="s">
        <v>51</v>
      </c>
      <c r="AI71" s="20"/>
      <c r="AJ71"/>
    </row>
    <row r="72" spans="1:36" ht="15" customHeight="1" x14ac:dyDescent="0.35">
      <c r="A72" s="12">
        <v>70</v>
      </c>
      <c r="B72" s="12" t="s">
        <v>35</v>
      </c>
      <c r="C72" s="12" t="s">
        <v>36</v>
      </c>
      <c r="D72" s="13" t="s">
        <v>37</v>
      </c>
      <c r="E72" s="12" t="s">
        <v>153</v>
      </c>
      <c r="F72" s="12" t="s">
        <v>254</v>
      </c>
      <c r="G72" s="27" t="s">
        <v>51</v>
      </c>
      <c r="H72" s="13" t="s">
        <v>543</v>
      </c>
      <c r="I72" s="25">
        <v>45783</v>
      </c>
      <c r="J72" s="5" t="s">
        <v>503</v>
      </c>
      <c r="K72" s="39" t="s">
        <v>504</v>
      </c>
      <c r="L72" s="29">
        <v>2</v>
      </c>
      <c r="M72" s="24">
        <v>17000</v>
      </c>
      <c r="N72" s="20"/>
      <c r="O72" s="53" t="s">
        <v>544</v>
      </c>
      <c r="P72" s="54">
        <v>45836</v>
      </c>
      <c r="Q72" s="20"/>
      <c r="R72" s="20"/>
      <c r="S72" s="20"/>
      <c r="T72" s="20"/>
      <c r="U72" s="20"/>
      <c r="V72" s="20"/>
      <c r="W72" s="12" t="s">
        <v>57</v>
      </c>
      <c r="X72" s="20" t="s">
        <v>506</v>
      </c>
      <c r="Y72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72" s="13" t="s">
        <v>182</v>
      </c>
      <c r="AA72" s="20" t="s">
        <v>545</v>
      </c>
      <c r="AB72" s="20" t="s">
        <v>47</v>
      </c>
      <c r="AC72" s="20"/>
      <c r="AD72" s="20"/>
      <c r="AE72" s="20"/>
      <c r="AF72" s="20"/>
      <c r="AG72" s="20" t="s">
        <v>47</v>
      </c>
      <c r="AH72" s="20" t="s">
        <v>81</v>
      </c>
      <c r="AI72" s="20"/>
      <c r="AJ72"/>
    </row>
    <row r="73" spans="1:36" ht="15" customHeight="1" x14ac:dyDescent="0.35">
      <c r="A73" s="12">
        <v>71</v>
      </c>
      <c r="B73" s="12" t="s">
        <v>35</v>
      </c>
      <c r="C73" s="12" t="s">
        <v>36</v>
      </c>
      <c r="D73" s="13" t="s">
        <v>37</v>
      </c>
      <c r="E73" s="12" t="s">
        <v>153</v>
      </c>
      <c r="F73" s="12" t="s">
        <v>546</v>
      </c>
      <c r="G73" s="27" t="s">
        <v>51</v>
      </c>
      <c r="H73" s="27" t="s">
        <v>547</v>
      </c>
      <c r="I73" s="25"/>
      <c r="J73" s="5" t="s">
        <v>548</v>
      </c>
      <c r="K73" s="20" t="s">
        <v>549</v>
      </c>
      <c r="L73" s="29">
        <v>1</v>
      </c>
      <c r="M73" s="24">
        <v>50</v>
      </c>
      <c r="N73" s="20"/>
      <c r="O73" s="42" t="s">
        <v>547</v>
      </c>
      <c r="P73" s="43">
        <v>45804</v>
      </c>
      <c r="Q73" s="20"/>
      <c r="R73" s="20"/>
      <c r="S73" s="20"/>
      <c r="T73" s="20"/>
      <c r="U73" s="20"/>
      <c r="V73" s="20"/>
      <c r="W73" s="12" t="s">
        <v>57</v>
      </c>
      <c r="X73" s="20" t="s">
        <v>329</v>
      </c>
      <c r="Y73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73" s="13" t="s">
        <v>347</v>
      </c>
      <c r="AA73" s="13" t="s">
        <v>550</v>
      </c>
      <c r="AB73" s="20" t="s">
        <v>341</v>
      </c>
      <c r="AC73" s="20" t="s">
        <v>371</v>
      </c>
      <c r="AD73" s="20"/>
      <c r="AE73" s="20"/>
      <c r="AF73" s="20"/>
      <c r="AG73" s="20" t="s">
        <v>47</v>
      </c>
      <c r="AH73" s="20"/>
      <c r="AI73" s="20"/>
      <c r="AJ73"/>
    </row>
    <row r="74" spans="1:36" ht="15" customHeight="1" x14ac:dyDescent="0.35">
      <c r="A74" s="12">
        <v>72</v>
      </c>
      <c r="B74" s="12" t="s">
        <v>35</v>
      </c>
      <c r="C74" s="12" t="s">
        <v>36</v>
      </c>
      <c r="D74" s="13" t="s">
        <v>37</v>
      </c>
      <c r="E74" s="12" t="s">
        <v>153</v>
      </c>
      <c r="F74" s="12" t="s">
        <v>551</v>
      </c>
      <c r="G74" s="27" t="s">
        <v>51</v>
      </c>
      <c r="H74" s="27" t="s">
        <v>552</v>
      </c>
      <c r="I74" s="25">
        <v>45790</v>
      </c>
      <c r="J74" s="5" t="s">
        <v>553</v>
      </c>
      <c r="K74" s="39" t="s">
        <v>554</v>
      </c>
      <c r="L74" s="29">
        <v>24</v>
      </c>
      <c r="M74" s="24">
        <v>1530</v>
      </c>
      <c r="N74" s="20"/>
      <c r="O74" s="42" t="s">
        <v>555</v>
      </c>
      <c r="P74" s="31">
        <v>45794</v>
      </c>
      <c r="Q74" s="20" t="s">
        <v>556</v>
      </c>
      <c r="R74" s="20"/>
      <c r="S74" s="20"/>
      <c r="T74" s="20"/>
      <c r="U74" s="20"/>
      <c r="V74" s="20"/>
      <c r="W74" s="12" t="s">
        <v>57</v>
      </c>
      <c r="X74" s="20" t="s">
        <v>329</v>
      </c>
      <c r="Y74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74" s="13" t="s">
        <v>557</v>
      </c>
      <c r="AA74" s="20"/>
      <c r="AB74" s="20" t="s">
        <v>341</v>
      </c>
      <c r="AC74" s="20"/>
      <c r="AD74" s="20" t="s">
        <v>558</v>
      </c>
      <c r="AE74" s="20" t="s">
        <v>47</v>
      </c>
      <c r="AF74" s="20"/>
      <c r="AG74" s="20" t="s">
        <v>47</v>
      </c>
      <c r="AH74" s="20" t="s">
        <v>51</v>
      </c>
      <c r="AI74" s="20"/>
      <c r="AJ74"/>
    </row>
    <row r="75" spans="1:36" ht="15" customHeight="1" x14ac:dyDescent="0.35">
      <c r="A75" s="12">
        <v>73</v>
      </c>
      <c r="B75" s="12" t="s">
        <v>35</v>
      </c>
      <c r="C75" s="12" t="s">
        <v>36</v>
      </c>
      <c r="D75" s="13" t="s">
        <v>37</v>
      </c>
      <c r="E75" s="12" t="s">
        <v>153</v>
      </c>
      <c r="F75" s="12" t="s">
        <v>559</v>
      </c>
      <c r="G75" s="27" t="s">
        <v>51</v>
      </c>
      <c r="H75" s="27" t="s">
        <v>560</v>
      </c>
      <c r="I75" s="25">
        <v>45797</v>
      </c>
      <c r="J75" s="5" t="s">
        <v>561</v>
      </c>
      <c r="K75" s="39" t="s">
        <v>562</v>
      </c>
      <c r="L75" s="29">
        <v>56</v>
      </c>
      <c r="M75" s="24">
        <v>666</v>
      </c>
      <c r="N75" s="20"/>
      <c r="O75" s="42" t="s">
        <v>563</v>
      </c>
      <c r="P75" s="55">
        <v>45804</v>
      </c>
      <c r="Q75" s="20"/>
      <c r="R75" s="20"/>
      <c r="S75" s="20"/>
      <c r="T75" s="20"/>
      <c r="U75" s="20"/>
      <c r="V75" s="20" t="s">
        <v>564</v>
      </c>
      <c r="W75" s="12" t="s">
        <v>57</v>
      </c>
      <c r="X75" s="20" t="s">
        <v>565</v>
      </c>
      <c r="Y75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75" s="13" t="s">
        <v>557</v>
      </c>
      <c r="AA75" s="20" t="s">
        <v>51</v>
      </c>
      <c r="AB75" s="20" t="s">
        <v>341</v>
      </c>
      <c r="AC75" s="20"/>
      <c r="AD75" s="20"/>
      <c r="AE75" s="20"/>
      <c r="AF75" s="20"/>
      <c r="AG75" s="20" t="s">
        <v>47</v>
      </c>
      <c r="AH75" s="20" t="s">
        <v>48</v>
      </c>
      <c r="AI75" s="20"/>
      <c r="AJ75"/>
    </row>
    <row r="76" spans="1:36" ht="15" customHeight="1" x14ac:dyDescent="0.35">
      <c r="A76" s="12">
        <v>74</v>
      </c>
      <c r="B76" s="12" t="s">
        <v>35</v>
      </c>
      <c r="C76" s="12" t="s">
        <v>36</v>
      </c>
      <c r="D76" s="13" t="s">
        <v>37</v>
      </c>
      <c r="E76" s="12" t="s">
        <v>153</v>
      </c>
      <c r="F76" s="12" t="s">
        <v>566</v>
      </c>
      <c r="G76" s="27" t="s">
        <v>51</v>
      </c>
      <c r="H76" s="27" t="s">
        <v>567</v>
      </c>
      <c r="I76" s="25">
        <v>45868</v>
      </c>
      <c r="J76" s="5" t="s">
        <v>568</v>
      </c>
      <c r="K76" s="39" t="s">
        <v>569</v>
      </c>
      <c r="L76" s="29">
        <v>207</v>
      </c>
      <c r="M76" s="24">
        <v>1840</v>
      </c>
      <c r="N76" s="20"/>
      <c r="O76" s="42" t="s">
        <v>570</v>
      </c>
      <c r="P76" s="55">
        <v>45889</v>
      </c>
      <c r="Q76" s="20"/>
      <c r="R76" s="38">
        <v>45876</v>
      </c>
      <c r="S76" s="20"/>
      <c r="T76" s="20"/>
      <c r="U76" s="20"/>
      <c r="V76" s="20"/>
      <c r="W76" s="12" t="s">
        <v>57</v>
      </c>
      <c r="X76" s="20" t="s">
        <v>526</v>
      </c>
      <c r="Y76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UPS</v>
      </c>
      <c r="Z76" s="13" t="s">
        <v>571</v>
      </c>
      <c r="AA76" s="20" t="s">
        <v>572</v>
      </c>
      <c r="AB76" s="20" t="s">
        <v>47</v>
      </c>
      <c r="AC76" s="20"/>
      <c r="AD76" s="20" t="s">
        <v>371</v>
      </c>
      <c r="AE76" s="20" t="s">
        <v>47</v>
      </c>
      <c r="AF76" s="20"/>
      <c r="AG76" s="20" t="s">
        <v>47</v>
      </c>
      <c r="AH76" s="20" t="s">
        <v>48</v>
      </c>
      <c r="AI76" s="20"/>
      <c r="AJ76"/>
    </row>
    <row r="77" spans="1:36" ht="15" customHeight="1" x14ac:dyDescent="0.35">
      <c r="A77" s="12">
        <v>75</v>
      </c>
      <c r="B77" s="12" t="s">
        <v>35</v>
      </c>
      <c r="C77" s="12" t="s">
        <v>36</v>
      </c>
      <c r="D77" s="13" t="s">
        <v>37</v>
      </c>
      <c r="E77" s="12" t="s">
        <v>153</v>
      </c>
      <c r="F77" s="12" t="s">
        <v>254</v>
      </c>
      <c r="G77" s="27" t="s">
        <v>573</v>
      </c>
      <c r="H77" s="27" t="s">
        <v>574</v>
      </c>
      <c r="I77" s="27" t="s">
        <v>51</v>
      </c>
      <c r="J77" s="5" t="s">
        <v>575</v>
      </c>
      <c r="K77" s="39" t="s">
        <v>576</v>
      </c>
      <c r="L77" s="20">
        <v>2</v>
      </c>
      <c r="M77" s="56">
        <v>14000</v>
      </c>
      <c r="N77" s="20">
        <v>9022130000</v>
      </c>
      <c r="O77" s="42" t="s">
        <v>577</v>
      </c>
      <c r="P77" s="43">
        <v>45616</v>
      </c>
      <c r="Q77" s="20"/>
      <c r="R77" s="25">
        <v>45598</v>
      </c>
      <c r="S77" s="20"/>
      <c r="T77" s="25"/>
      <c r="U77" s="20"/>
      <c r="V77" s="13" t="s">
        <v>578</v>
      </c>
      <c r="W77" s="20" t="s">
        <v>579</v>
      </c>
      <c r="X77" s="20" t="s">
        <v>580</v>
      </c>
      <c r="Y77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77" s="20" t="s">
        <v>51</v>
      </c>
      <c r="AA77" s="20" t="s">
        <v>581</v>
      </c>
      <c r="AB77" s="20" t="s">
        <v>51</v>
      </c>
      <c r="AC77" s="20"/>
      <c r="AD77" s="20" t="s">
        <v>271</v>
      </c>
      <c r="AE77" s="20" t="s">
        <v>47</v>
      </c>
      <c r="AF77" s="20"/>
      <c r="AG77" s="20" t="s">
        <v>47</v>
      </c>
      <c r="AH77" s="20" t="s">
        <v>142</v>
      </c>
      <c r="AI77" s="20" t="s">
        <v>49</v>
      </c>
      <c r="AJ77"/>
    </row>
    <row r="78" spans="1:36" ht="15" customHeight="1" x14ac:dyDescent="0.35">
      <c r="A78" s="12">
        <v>76</v>
      </c>
      <c r="B78" s="57" t="s">
        <v>35</v>
      </c>
      <c r="C78" s="57" t="s">
        <v>36</v>
      </c>
      <c r="D78" s="58" t="s">
        <v>37</v>
      </c>
      <c r="E78" s="57" t="s">
        <v>153</v>
      </c>
      <c r="F78" s="57" t="s">
        <v>254</v>
      </c>
      <c r="G78" s="59" t="s">
        <v>51</v>
      </c>
      <c r="H78" s="59" t="s">
        <v>582</v>
      </c>
      <c r="I78" s="60">
        <v>45538</v>
      </c>
      <c r="J78" s="61" t="s">
        <v>583</v>
      </c>
      <c r="K78" s="62" t="s">
        <v>584</v>
      </c>
      <c r="L78" s="63">
        <v>2</v>
      </c>
      <c r="M78" s="64">
        <v>11000</v>
      </c>
      <c r="N78" s="63">
        <v>9022120010</v>
      </c>
      <c r="O78" s="65" t="s">
        <v>585</v>
      </c>
      <c r="P78" s="66">
        <v>45630</v>
      </c>
      <c r="Q78" s="63"/>
      <c r="R78" s="63"/>
      <c r="S78" s="63"/>
      <c r="T78" s="60"/>
      <c r="U78" s="63"/>
      <c r="V78" s="58"/>
      <c r="W78" s="63" t="s">
        <v>57</v>
      </c>
      <c r="X78" s="63" t="s">
        <v>580</v>
      </c>
      <c r="Y78" s="57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78" s="58" t="s">
        <v>182</v>
      </c>
      <c r="AA78" s="63" t="s">
        <v>586</v>
      </c>
      <c r="AB78" s="63" t="s">
        <v>47</v>
      </c>
      <c r="AC78" s="63"/>
      <c r="AD78" s="63" t="s">
        <v>320</v>
      </c>
      <c r="AE78" s="63"/>
      <c r="AF78" s="63"/>
      <c r="AG78" s="63" t="s">
        <v>47</v>
      </c>
      <c r="AH78" s="63" t="s">
        <v>142</v>
      </c>
      <c r="AI78" s="63" t="s">
        <v>49</v>
      </c>
      <c r="AJ78"/>
    </row>
    <row r="79" spans="1:36" ht="15" customHeight="1" x14ac:dyDescent="0.35">
      <c r="A79" s="12">
        <v>77</v>
      </c>
      <c r="B79" s="57" t="s">
        <v>35</v>
      </c>
      <c r="C79" s="57" t="s">
        <v>36</v>
      </c>
      <c r="D79" s="58" t="s">
        <v>37</v>
      </c>
      <c r="E79" s="57" t="s">
        <v>153</v>
      </c>
      <c r="F79" s="57" t="s">
        <v>254</v>
      </c>
      <c r="G79" s="59" t="s">
        <v>51</v>
      </c>
      <c r="H79" s="59" t="s">
        <v>587</v>
      </c>
      <c r="I79" s="59" t="s">
        <v>51</v>
      </c>
      <c r="J79" s="61" t="s">
        <v>575</v>
      </c>
      <c r="K79" s="62" t="s">
        <v>588</v>
      </c>
      <c r="L79" s="63">
        <v>2</v>
      </c>
      <c r="M79" s="67">
        <v>14000</v>
      </c>
      <c r="N79" s="63">
        <v>9022120010</v>
      </c>
      <c r="O79" s="65" t="s">
        <v>589</v>
      </c>
      <c r="P79" s="66">
        <v>45691</v>
      </c>
      <c r="Q79" s="63"/>
      <c r="R79" s="68">
        <v>45679</v>
      </c>
      <c r="S79" s="63"/>
      <c r="T79" s="60"/>
      <c r="U79" s="63"/>
      <c r="V79" s="63"/>
      <c r="W79" s="63" t="s">
        <v>57</v>
      </c>
      <c r="X79" s="63" t="s">
        <v>580</v>
      </c>
      <c r="Y79" s="57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79" s="58" t="s">
        <v>364</v>
      </c>
      <c r="AA79" s="63" t="s">
        <v>590</v>
      </c>
      <c r="AB79" s="63" t="s">
        <v>47</v>
      </c>
      <c r="AC79" s="63"/>
      <c r="AD79" s="63" t="s">
        <v>320</v>
      </c>
      <c r="AE79" s="63" t="s">
        <v>47</v>
      </c>
      <c r="AF79" s="63"/>
      <c r="AG79" s="63" t="s">
        <v>47</v>
      </c>
      <c r="AH79" s="63" t="s">
        <v>81</v>
      </c>
      <c r="AI79" s="63" t="s">
        <v>49</v>
      </c>
      <c r="AJ79"/>
    </row>
    <row r="80" spans="1:36" ht="15" customHeight="1" x14ac:dyDescent="0.35">
      <c r="A80" s="12">
        <v>78</v>
      </c>
      <c r="B80" s="12" t="s">
        <v>35</v>
      </c>
      <c r="C80" s="12" t="s">
        <v>36</v>
      </c>
      <c r="D80" s="13" t="s">
        <v>37</v>
      </c>
      <c r="E80" s="12" t="s">
        <v>153</v>
      </c>
      <c r="F80" s="12" t="s">
        <v>161</v>
      </c>
      <c r="G80" s="27" t="s">
        <v>51</v>
      </c>
      <c r="H80" s="13" t="s">
        <v>591</v>
      </c>
      <c r="I80" s="25">
        <v>45546</v>
      </c>
      <c r="J80" s="33" t="s">
        <v>592</v>
      </c>
      <c r="K80" s="39" t="s">
        <v>593</v>
      </c>
      <c r="L80" s="20">
        <v>6</v>
      </c>
      <c r="M80" s="24">
        <v>13000</v>
      </c>
      <c r="N80" s="20">
        <v>9011800010</v>
      </c>
      <c r="O80" s="42" t="s">
        <v>594</v>
      </c>
      <c r="P80" s="43">
        <v>45591</v>
      </c>
      <c r="Q80" s="20"/>
      <c r="R80" s="20"/>
      <c r="S80" s="20"/>
      <c r="T80" s="20"/>
      <c r="U80" s="20"/>
      <c r="V80" s="20"/>
      <c r="W80" s="20" t="s">
        <v>57</v>
      </c>
      <c r="X80" s="20" t="s">
        <v>161</v>
      </c>
      <c r="Y80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80" s="13" t="s">
        <v>182</v>
      </c>
      <c r="AA80" s="20" t="s">
        <v>595</v>
      </c>
      <c r="AB80" s="20" t="s">
        <v>47</v>
      </c>
      <c r="AC80" s="20"/>
      <c r="AD80" s="20" t="s">
        <v>596</v>
      </c>
      <c r="AE80" s="20" t="s">
        <v>47</v>
      </c>
      <c r="AF80" s="20"/>
      <c r="AG80" s="20" t="s">
        <v>47</v>
      </c>
      <c r="AH80" s="20" t="s">
        <v>142</v>
      </c>
      <c r="AI80" s="20" t="s">
        <v>49</v>
      </c>
      <c r="AJ80"/>
    </row>
    <row r="81" spans="1:36" ht="15" customHeight="1" x14ac:dyDescent="0.35">
      <c r="A81" s="12">
        <v>79</v>
      </c>
      <c r="B81" s="12" t="s">
        <v>35</v>
      </c>
      <c r="C81" s="12" t="s">
        <v>36</v>
      </c>
      <c r="D81" s="13" t="s">
        <v>37</v>
      </c>
      <c r="E81" s="12" t="s">
        <v>38</v>
      </c>
      <c r="F81" s="12" t="s">
        <v>143</v>
      </c>
      <c r="G81" s="20" t="s">
        <v>51</v>
      </c>
      <c r="H81" s="13" t="s">
        <v>597</v>
      </c>
      <c r="I81" s="25">
        <v>45769</v>
      </c>
      <c r="J81" s="5" t="s">
        <v>598</v>
      </c>
      <c r="K81" s="39" t="s">
        <v>599</v>
      </c>
      <c r="L81" s="20">
        <v>4</v>
      </c>
      <c r="M81" s="52">
        <v>3000</v>
      </c>
      <c r="N81" s="20"/>
      <c r="O81" s="42" t="s">
        <v>600</v>
      </c>
      <c r="P81" s="43">
        <v>45797</v>
      </c>
      <c r="Q81" s="20"/>
      <c r="R81" s="20"/>
      <c r="S81" s="20"/>
      <c r="T81" s="20"/>
      <c r="U81" s="20"/>
      <c r="V81" s="20"/>
      <c r="W81" s="12" t="s">
        <v>57</v>
      </c>
      <c r="X81" s="20" t="s">
        <v>45</v>
      </c>
      <c r="Y81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81" s="20" t="s">
        <v>364</v>
      </c>
      <c r="AA81" s="20" t="s">
        <v>601</v>
      </c>
      <c r="AB81" s="20" t="s">
        <v>47</v>
      </c>
      <c r="AC81" s="20"/>
      <c r="AD81" s="20" t="s">
        <v>320</v>
      </c>
      <c r="AE81" s="20"/>
      <c r="AF81" s="20"/>
      <c r="AG81" s="20" t="s">
        <v>47</v>
      </c>
      <c r="AH81" s="20" t="s">
        <v>81</v>
      </c>
      <c r="AI81" s="20"/>
      <c r="AJ81"/>
    </row>
    <row r="82" spans="1:36" ht="15" customHeight="1" x14ac:dyDescent="0.35">
      <c r="A82" s="12">
        <v>80</v>
      </c>
      <c r="B82" s="12" t="s">
        <v>35</v>
      </c>
      <c r="C82" s="12" t="s">
        <v>36</v>
      </c>
      <c r="D82" s="20" t="s">
        <v>37</v>
      </c>
      <c r="E82" s="12" t="s">
        <v>153</v>
      </c>
      <c r="F82" s="20" t="s">
        <v>254</v>
      </c>
      <c r="G82" s="20" t="s">
        <v>51</v>
      </c>
      <c r="H82" s="20" t="s">
        <v>602</v>
      </c>
      <c r="I82" s="25">
        <v>45852</v>
      </c>
      <c r="J82" s="5" t="s">
        <v>503</v>
      </c>
      <c r="K82" s="20">
        <v>1008</v>
      </c>
      <c r="L82" s="20">
        <v>2</v>
      </c>
      <c r="M82" s="56">
        <v>17000</v>
      </c>
      <c r="N82" s="20"/>
      <c r="O82" s="42" t="s">
        <v>603</v>
      </c>
      <c r="P82" s="43">
        <v>45893</v>
      </c>
      <c r="Q82" s="20"/>
      <c r="R82" s="20"/>
      <c r="S82" s="20"/>
      <c r="T82" s="20"/>
      <c r="U82" s="20"/>
      <c r="V82" s="20"/>
      <c r="W82" s="12" t="s">
        <v>57</v>
      </c>
      <c r="X82" s="20" t="s">
        <v>506</v>
      </c>
      <c r="Y82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82" s="13" t="s">
        <v>182</v>
      </c>
      <c r="AA82" s="20" t="s">
        <v>604</v>
      </c>
      <c r="AB82" s="20"/>
      <c r="AC82" s="20"/>
      <c r="AD82" s="20"/>
      <c r="AE82" s="20"/>
      <c r="AF82" s="20"/>
      <c r="AG82" s="20"/>
      <c r="AH82" s="20" t="s">
        <v>81</v>
      </c>
      <c r="AI82" s="20"/>
      <c r="AJ82"/>
    </row>
    <row r="83" spans="1:36" ht="15" customHeight="1" x14ac:dyDescent="0.35">
      <c r="A83" s="12">
        <v>81</v>
      </c>
      <c r="B83" s="12" t="s">
        <v>35</v>
      </c>
      <c r="C83" s="12" t="s">
        <v>36</v>
      </c>
      <c r="D83" s="69" t="s">
        <v>37</v>
      </c>
      <c r="E83" s="12" t="s">
        <v>153</v>
      </c>
      <c r="F83" s="13" t="s">
        <v>605</v>
      </c>
      <c r="G83" s="42" t="s">
        <v>606</v>
      </c>
      <c r="H83" s="20" t="s">
        <v>607</v>
      </c>
      <c r="I83" s="25">
        <v>45868</v>
      </c>
      <c r="J83" s="5" t="s">
        <v>608</v>
      </c>
      <c r="K83" s="70" t="s">
        <v>609</v>
      </c>
      <c r="L83" s="20">
        <v>1800</v>
      </c>
      <c r="M83" s="56">
        <v>12600</v>
      </c>
      <c r="N83" s="20"/>
      <c r="O83" s="42" t="s">
        <v>610</v>
      </c>
      <c r="P83" s="38">
        <v>45964</v>
      </c>
      <c r="Q83" s="20"/>
      <c r="R83" s="38">
        <v>45941</v>
      </c>
      <c r="S83" s="38">
        <v>45903</v>
      </c>
      <c r="T83" s="20"/>
      <c r="U83" s="20"/>
      <c r="V83" s="20" t="s">
        <v>611</v>
      </c>
      <c r="W83" s="12" t="s">
        <v>71</v>
      </c>
      <c r="X83" s="20" t="s">
        <v>612</v>
      </c>
      <c r="Y83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83" s="13" t="s">
        <v>613</v>
      </c>
      <c r="AA83" s="37" t="s">
        <v>614</v>
      </c>
      <c r="AB83" s="20"/>
      <c r="AC83" s="20"/>
      <c r="AD83" s="20"/>
      <c r="AE83" s="20"/>
      <c r="AF83" s="20"/>
      <c r="AG83" s="20"/>
      <c r="AH83" s="20" t="s">
        <v>81</v>
      </c>
      <c r="AI83" s="20"/>
      <c r="AJ83"/>
    </row>
    <row r="84" spans="1:36" ht="15" customHeight="1" x14ac:dyDescent="0.35">
      <c r="A84" s="12">
        <v>82</v>
      </c>
      <c r="B84" s="12" t="s">
        <v>51</v>
      </c>
      <c r="C84" s="12" t="s">
        <v>36</v>
      </c>
      <c r="D84" s="69" t="s">
        <v>37</v>
      </c>
      <c r="E84" s="12" t="s">
        <v>372</v>
      </c>
      <c r="F84" s="13" t="s">
        <v>397</v>
      </c>
      <c r="G84" s="42" t="s">
        <v>51</v>
      </c>
      <c r="H84" s="13" t="s">
        <v>615</v>
      </c>
      <c r="I84" s="25">
        <v>45853</v>
      </c>
      <c r="J84" s="71" t="s">
        <v>616</v>
      </c>
      <c r="K84" s="72">
        <v>6440</v>
      </c>
      <c r="L84" s="20">
        <v>6</v>
      </c>
      <c r="M84" s="56">
        <v>145000</v>
      </c>
      <c r="N84" s="20"/>
      <c r="O84" s="42" t="s">
        <v>617</v>
      </c>
      <c r="P84" s="20"/>
      <c r="Q84" s="20"/>
      <c r="R84" s="38">
        <v>45924</v>
      </c>
      <c r="S84" s="20"/>
      <c r="T84" s="20"/>
      <c r="U84" s="20"/>
      <c r="V84" s="20"/>
      <c r="W84" s="12" t="s">
        <v>618</v>
      </c>
      <c r="X84" s="20"/>
      <c r="Y84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84" s="13" t="s">
        <v>518</v>
      </c>
      <c r="AA84" s="73" t="s">
        <v>619</v>
      </c>
      <c r="AB84" s="20"/>
      <c r="AC84" s="20"/>
      <c r="AD84" s="20"/>
      <c r="AE84" s="20"/>
      <c r="AF84" s="20"/>
      <c r="AG84" s="20"/>
      <c r="AH84" s="20"/>
      <c r="AI84" s="20"/>
      <c r="AJ84"/>
    </row>
    <row r="85" spans="1:36" ht="15" customHeight="1" x14ac:dyDescent="0.35">
      <c r="A85" s="12">
        <v>83</v>
      </c>
      <c r="B85" s="12" t="s">
        <v>35</v>
      </c>
      <c r="C85" s="12" t="s">
        <v>36</v>
      </c>
      <c r="D85" s="69" t="s">
        <v>37</v>
      </c>
      <c r="E85" s="74" t="s">
        <v>153</v>
      </c>
      <c r="F85" s="75" t="s">
        <v>154</v>
      </c>
      <c r="G85" s="76" t="s">
        <v>620</v>
      </c>
      <c r="H85" s="75" t="s">
        <v>621</v>
      </c>
      <c r="I85" s="25">
        <v>45881</v>
      </c>
      <c r="J85" s="5" t="s">
        <v>622</v>
      </c>
      <c r="K85" s="72">
        <v>2071</v>
      </c>
      <c r="L85" s="20">
        <v>22</v>
      </c>
      <c r="M85" s="20">
        <v>24750</v>
      </c>
      <c r="N85" s="20"/>
      <c r="O85" s="42" t="s">
        <v>623</v>
      </c>
      <c r="P85" s="43">
        <v>46057</v>
      </c>
      <c r="Q85" s="20"/>
      <c r="R85" s="38">
        <v>46011</v>
      </c>
      <c r="S85" s="20"/>
      <c r="T85" s="20"/>
      <c r="U85" s="20"/>
      <c r="V85" s="20"/>
      <c r="W85" s="12" t="s">
        <v>71</v>
      </c>
      <c r="X85" s="20" t="s">
        <v>154</v>
      </c>
      <c r="Y85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85" s="20" t="s">
        <v>104</v>
      </c>
      <c r="AA85" s="20" t="s">
        <v>624</v>
      </c>
      <c r="AB85" s="20" t="s">
        <v>131</v>
      </c>
      <c r="AC85" s="20"/>
      <c r="AD85" s="20" t="s">
        <v>446</v>
      </c>
      <c r="AE85" s="20"/>
      <c r="AF85" s="20"/>
      <c r="AG85" s="20" t="s">
        <v>47</v>
      </c>
      <c r="AH85" s="20" t="s">
        <v>81</v>
      </c>
      <c r="AI85" s="20"/>
      <c r="AJ85"/>
    </row>
    <row r="86" spans="1:36" ht="15" customHeight="1" x14ac:dyDescent="0.35">
      <c r="A86" s="12">
        <v>84</v>
      </c>
      <c r="B86" s="12" t="s">
        <v>35</v>
      </c>
      <c r="C86" s="12" t="s">
        <v>36</v>
      </c>
      <c r="D86" s="69" t="s">
        <v>37</v>
      </c>
      <c r="E86" s="12" t="s">
        <v>153</v>
      </c>
      <c r="F86" s="13" t="s">
        <v>254</v>
      </c>
      <c r="G86" s="42" t="s">
        <v>625</v>
      </c>
      <c r="H86" s="13" t="s">
        <v>626</v>
      </c>
      <c r="I86" s="25">
        <v>45852</v>
      </c>
      <c r="J86" s="5" t="s">
        <v>627</v>
      </c>
      <c r="K86" s="20">
        <v>4536</v>
      </c>
      <c r="L86" s="20">
        <v>9</v>
      </c>
      <c r="M86" s="56">
        <v>76500</v>
      </c>
      <c r="N86" s="20"/>
      <c r="O86" s="42" t="s">
        <v>628</v>
      </c>
      <c r="P86" s="43">
        <v>45965</v>
      </c>
      <c r="Q86" s="20"/>
      <c r="R86" s="20"/>
      <c r="S86" s="38">
        <v>45914</v>
      </c>
      <c r="T86" s="20"/>
      <c r="U86" s="20"/>
      <c r="V86" s="20"/>
      <c r="W86" s="12" t="s">
        <v>629</v>
      </c>
      <c r="X86" s="20" t="s">
        <v>506</v>
      </c>
      <c r="Y86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86" s="20" t="s">
        <v>182</v>
      </c>
      <c r="AA86" s="20" t="s">
        <v>630</v>
      </c>
      <c r="AB86" s="20" t="s">
        <v>49</v>
      </c>
      <c r="AC86" s="20"/>
      <c r="AD86" s="20"/>
      <c r="AE86" s="20"/>
      <c r="AF86" s="20"/>
      <c r="AG86" s="20" t="s">
        <v>47</v>
      </c>
      <c r="AH86" s="20"/>
      <c r="AI86" s="20"/>
      <c r="AJ86"/>
    </row>
    <row r="87" spans="1:36" ht="15" customHeight="1" x14ac:dyDescent="0.35">
      <c r="A87" s="12">
        <v>85</v>
      </c>
      <c r="B87" s="12" t="s">
        <v>35</v>
      </c>
      <c r="C87" s="12" t="s">
        <v>36</v>
      </c>
      <c r="D87" s="69" t="s">
        <v>37</v>
      </c>
      <c r="E87" s="12" t="s">
        <v>153</v>
      </c>
      <c r="F87" s="13" t="s">
        <v>254</v>
      </c>
      <c r="G87" s="42" t="s">
        <v>51</v>
      </c>
      <c r="H87" s="13" t="s">
        <v>631</v>
      </c>
      <c r="I87" s="25">
        <v>45810</v>
      </c>
      <c r="J87" s="5" t="s">
        <v>503</v>
      </c>
      <c r="K87" s="20" t="s">
        <v>632</v>
      </c>
      <c r="L87" s="20">
        <v>2</v>
      </c>
      <c r="M87" s="56">
        <v>17000</v>
      </c>
      <c r="N87" s="20"/>
      <c r="O87" s="42" t="s">
        <v>633</v>
      </c>
      <c r="P87" s="43">
        <v>45944</v>
      </c>
      <c r="Q87" s="20"/>
      <c r="R87" s="38">
        <v>45932</v>
      </c>
      <c r="S87" s="38"/>
      <c r="T87" s="20"/>
      <c r="U87" s="20"/>
      <c r="V87" s="20" t="s">
        <v>634</v>
      </c>
      <c r="W87" s="12" t="s">
        <v>57</v>
      </c>
      <c r="X87" s="20" t="s">
        <v>506</v>
      </c>
      <c r="Y87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87" s="20" t="s">
        <v>182</v>
      </c>
      <c r="AA87" s="20" t="s">
        <v>635</v>
      </c>
      <c r="AB87" s="20"/>
      <c r="AC87" s="20"/>
      <c r="AD87" s="20" t="s">
        <v>320</v>
      </c>
      <c r="AE87" s="20"/>
      <c r="AF87" s="20"/>
      <c r="AG87" s="20"/>
      <c r="AH87" s="20"/>
      <c r="AI87" s="20"/>
      <c r="AJ87"/>
    </row>
    <row r="88" spans="1:36" ht="15" customHeight="1" x14ac:dyDescent="0.35">
      <c r="A88" s="12">
        <v>86</v>
      </c>
      <c r="B88" s="12" t="s">
        <v>35</v>
      </c>
      <c r="C88" s="12" t="s">
        <v>36</v>
      </c>
      <c r="D88" s="69" t="s">
        <v>37</v>
      </c>
      <c r="E88" s="12" t="s">
        <v>153</v>
      </c>
      <c r="F88" s="13" t="s">
        <v>546</v>
      </c>
      <c r="G88" s="20" t="s">
        <v>51</v>
      </c>
      <c r="H88" s="13">
        <v>6273559773</v>
      </c>
      <c r="I88" s="25">
        <v>45904</v>
      </c>
      <c r="J88" s="5" t="s">
        <v>548</v>
      </c>
      <c r="K88" s="72" t="s">
        <v>636</v>
      </c>
      <c r="L88" s="20">
        <v>1</v>
      </c>
      <c r="M88" s="56">
        <v>80</v>
      </c>
      <c r="N88" s="20"/>
      <c r="O88" s="42" t="s">
        <v>637</v>
      </c>
      <c r="P88" s="43">
        <v>45913</v>
      </c>
      <c r="Q88" s="20"/>
      <c r="R88" s="38">
        <v>45911</v>
      </c>
      <c r="S88" s="20"/>
      <c r="T88" s="20"/>
      <c r="U88" s="20"/>
      <c r="V88" s="20" t="s">
        <v>638</v>
      </c>
      <c r="W88" s="12" t="s">
        <v>328</v>
      </c>
      <c r="X88" s="20"/>
      <c r="Y88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UPS</v>
      </c>
      <c r="Z88" s="20" t="s">
        <v>639</v>
      </c>
      <c r="AA88" s="20"/>
      <c r="AB88" s="20"/>
      <c r="AC88" s="20"/>
      <c r="AD88" s="20"/>
      <c r="AE88" s="20"/>
      <c r="AF88" s="20"/>
      <c r="AG88" s="20"/>
      <c r="AH88" s="20"/>
      <c r="AI88" s="20"/>
      <c r="AJ88"/>
    </row>
    <row r="89" spans="1:36" ht="15" customHeight="1" x14ac:dyDescent="0.35">
      <c r="A89" s="12">
        <v>87</v>
      </c>
      <c r="B89" s="12" t="s">
        <v>51</v>
      </c>
      <c r="C89" s="12" t="s">
        <v>36</v>
      </c>
      <c r="D89" s="69" t="s">
        <v>37</v>
      </c>
      <c r="E89" s="12" t="s">
        <v>640</v>
      </c>
      <c r="F89" s="13" t="s">
        <v>455</v>
      </c>
      <c r="G89" s="20" t="s">
        <v>51</v>
      </c>
      <c r="H89" s="20">
        <v>395379</v>
      </c>
      <c r="I89" s="25" t="s">
        <v>51</v>
      </c>
      <c r="J89" s="20" t="s">
        <v>641</v>
      </c>
      <c r="K89" s="72" t="s">
        <v>642</v>
      </c>
      <c r="L89" s="20">
        <v>62</v>
      </c>
      <c r="M89" s="56">
        <v>0</v>
      </c>
      <c r="N89" s="20"/>
      <c r="O89" s="42" t="s">
        <v>643</v>
      </c>
      <c r="P89" s="43">
        <v>45915</v>
      </c>
      <c r="Q89" s="20"/>
      <c r="R89" s="38">
        <v>45912</v>
      </c>
      <c r="S89" s="20"/>
      <c r="T89" s="20"/>
      <c r="U89" s="20"/>
      <c r="V89" s="20"/>
      <c r="W89" s="12" t="s">
        <v>57</v>
      </c>
      <c r="X89" s="20" t="s">
        <v>644</v>
      </c>
      <c r="Y89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89" s="20" t="s">
        <v>645</v>
      </c>
      <c r="AA89" s="20" t="s">
        <v>646</v>
      </c>
      <c r="AB89" s="20" t="s">
        <v>341</v>
      </c>
      <c r="AC89" s="20"/>
      <c r="AD89" s="13" t="s">
        <v>518</v>
      </c>
      <c r="AE89" s="20" t="s">
        <v>47</v>
      </c>
      <c r="AF89" s="20"/>
      <c r="AG89" s="20"/>
      <c r="AH89" s="20"/>
      <c r="AI89" s="20"/>
      <c r="AJ89"/>
    </row>
    <row r="90" spans="1:36" ht="15" customHeight="1" x14ac:dyDescent="0.35">
      <c r="A90" s="12">
        <v>88</v>
      </c>
      <c r="B90" s="12" t="s">
        <v>51</v>
      </c>
      <c r="C90" s="12" t="s">
        <v>36</v>
      </c>
      <c r="D90" s="77" t="s">
        <v>37</v>
      </c>
      <c r="E90" s="74" t="s">
        <v>372</v>
      </c>
      <c r="F90" s="75" t="s">
        <v>254</v>
      </c>
      <c r="G90" s="20" t="s">
        <v>51</v>
      </c>
      <c r="H90" s="13" t="s">
        <v>647</v>
      </c>
      <c r="I90" s="25">
        <v>45910</v>
      </c>
      <c r="J90" s="71" t="s">
        <v>648</v>
      </c>
      <c r="K90" s="39">
        <v>504</v>
      </c>
      <c r="L90" s="20">
        <v>1</v>
      </c>
      <c r="M90" s="56">
        <v>22000</v>
      </c>
      <c r="N90" s="20"/>
      <c r="O90" s="42" t="s">
        <v>649</v>
      </c>
      <c r="P90" s="43"/>
      <c r="Q90" s="20"/>
      <c r="R90" s="20"/>
      <c r="S90" s="20"/>
      <c r="T90" s="20"/>
      <c r="U90" s="20"/>
      <c r="V90" s="20"/>
      <c r="W90" s="12"/>
      <c r="X90" s="20" t="s">
        <v>506</v>
      </c>
      <c r="Y90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90" s="20" t="s">
        <v>364</v>
      </c>
      <c r="AA90" s="20" t="s">
        <v>650</v>
      </c>
      <c r="AB90" s="20"/>
      <c r="AC90" s="20"/>
      <c r="AD90" s="20"/>
      <c r="AE90" s="20"/>
      <c r="AF90" s="20"/>
      <c r="AG90" s="20" t="s">
        <v>51</v>
      </c>
      <c r="AH90" s="20" t="s">
        <v>51</v>
      </c>
      <c r="AI90" s="20"/>
      <c r="AJ90"/>
    </row>
    <row r="91" spans="1:36" ht="15" customHeight="1" x14ac:dyDescent="0.35">
      <c r="A91" s="12">
        <v>89</v>
      </c>
      <c r="B91" s="12" t="s">
        <v>51</v>
      </c>
      <c r="C91" s="12" t="s">
        <v>36</v>
      </c>
      <c r="D91" s="77" t="s">
        <v>37</v>
      </c>
      <c r="E91" s="74" t="s">
        <v>372</v>
      </c>
      <c r="F91" s="75" t="s">
        <v>254</v>
      </c>
      <c r="G91" s="20" t="s">
        <v>51</v>
      </c>
      <c r="H91" s="13" t="s">
        <v>651</v>
      </c>
      <c r="I91" s="25">
        <v>45914</v>
      </c>
      <c r="J91" s="71" t="s">
        <v>648</v>
      </c>
      <c r="K91" s="39">
        <v>504</v>
      </c>
      <c r="L91" s="20">
        <v>1</v>
      </c>
      <c r="M91" s="56">
        <v>22000</v>
      </c>
      <c r="N91" s="20"/>
      <c r="O91" s="42" t="s">
        <v>652</v>
      </c>
      <c r="P91" s="43"/>
      <c r="Q91" s="20"/>
      <c r="R91" s="20"/>
      <c r="S91" s="20"/>
      <c r="T91" s="20"/>
      <c r="U91" s="20"/>
      <c r="V91" s="20"/>
      <c r="W91" s="12"/>
      <c r="X91" s="20" t="s">
        <v>506</v>
      </c>
      <c r="Y91" s="12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91" s="20" t="s">
        <v>364</v>
      </c>
      <c r="AA91" s="20" t="s">
        <v>650</v>
      </c>
      <c r="AB91" s="20"/>
      <c r="AC91" s="20"/>
      <c r="AD91" s="20"/>
      <c r="AE91" s="20"/>
      <c r="AF91" s="20"/>
      <c r="AG91" s="20" t="s">
        <v>51</v>
      </c>
      <c r="AH91" s="20"/>
      <c r="AI91" s="20"/>
      <c r="AJ91"/>
    </row>
    <row r="92" spans="1:36" ht="15" customHeight="1" x14ac:dyDescent="0.35">
      <c r="A92" s="12">
        <v>90</v>
      </c>
      <c r="B92" s="78" t="s">
        <v>653</v>
      </c>
      <c r="C92" s="12" t="s">
        <v>36</v>
      </c>
      <c r="D92" s="77" t="s">
        <v>37</v>
      </c>
      <c r="E92" s="74" t="s">
        <v>38</v>
      </c>
      <c r="F92" s="13" t="s">
        <v>397</v>
      </c>
      <c r="G92" s="76" t="s">
        <v>654</v>
      </c>
      <c r="H92" s="75" t="s">
        <v>655</v>
      </c>
      <c r="I92" s="25">
        <v>45960</v>
      </c>
      <c r="J92" s="5" t="s">
        <v>656</v>
      </c>
      <c r="K92" s="39">
        <v>6570</v>
      </c>
      <c r="L92" s="20">
        <v>6</v>
      </c>
      <c r="M92" s="20">
        <v>12000</v>
      </c>
      <c r="N92" s="20"/>
      <c r="O92" s="42" t="s">
        <v>657</v>
      </c>
      <c r="P92" s="43">
        <v>46000</v>
      </c>
      <c r="Q92" s="20"/>
      <c r="R92" s="38">
        <v>45986</v>
      </c>
      <c r="S92" s="38">
        <v>45966</v>
      </c>
      <c r="T92" s="20"/>
      <c r="U92" s="20"/>
      <c r="V92" s="20"/>
      <c r="W92" s="12" t="s">
        <v>658</v>
      </c>
      <c r="X92" s="20" t="s">
        <v>518</v>
      </c>
      <c r="Y92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92" s="20" t="s">
        <v>104</v>
      </c>
      <c r="AA92" s="20" t="s">
        <v>659</v>
      </c>
      <c r="AB92" s="20" t="s">
        <v>47</v>
      </c>
      <c r="AC92" s="20"/>
      <c r="AD92" s="20" t="s">
        <v>271</v>
      </c>
      <c r="AE92" s="20"/>
      <c r="AF92" s="20"/>
      <c r="AG92" s="20" t="s">
        <v>47</v>
      </c>
      <c r="AH92" s="20" t="s">
        <v>81</v>
      </c>
      <c r="AI92" s="20"/>
      <c r="AJ92"/>
    </row>
    <row r="93" spans="1:36" ht="15" customHeight="1" x14ac:dyDescent="0.35">
      <c r="A93" s="12">
        <v>91</v>
      </c>
      <c r="B93" s="78" t="s">
        <v>653</v>
      </c>
      <c r="C93" s="12" t="s">
        <v>36</v>
      </c>
      <c r="D93" s="77" t="s">
        <v>37</v>
      </c>
      <c r="E93" s="74" t="s">
        <v>660</v>
      </c>
      <c r="F93" s="13" t="s">
        <v>455</v>
      </c>
      <c r="G93" s="76" t="s">
        <v>51</v>
      </c>
      <c r="H93" s="75">
        <v>3753822</v>
      </c>
      <c r="I93" s="25">
        <v>45961</v>
      </c>
      <c r="J93" s="5" t="s">
        <v>661</v>
      </c>
      <c r="K93" s="39" t="s">
        <v>662</v>
      </c>
      <c r="L93" s="20">
        <v>30</v>
      </c>
      <c r="M93" s="20" t="s">
        <v>663</v>
      </c>
      <c r="N93" s="20"/>
      <c r="O93" s="49" t="s">
        <v>664</v>
      </c>
      <c r="P93" s="25">
        <v>45976</v>
      </c>
      <c r="Q93" s="20"/>
      <c r="R93" s="38"/>
      <c r="S93" s="38">
        <v>45964</v>
      </c>
      <c r="T93" s="20"/>
      <c r="U93" s="20"/>
      <c r="V93" s="20"/>
      <c r="W93" s="12" t="s">
        <v>57</v>
      </c>
      <c r="X93" s="20" t="s">
        <v>644</v>
      </c>
      <c r="Y93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UPS</v>
      </c>
      <c r="Z93" s="20" t="s">
        <v>665</v>
      </c>
      <c r="AA93" s="20"/>
      <c r="AB93" s="20"/>
      <c r="AC93" s="20"/>
      <c r="AD93" s="20" t="s">
        <v>349</v>
      </c>
      <c r="AE93" s="20">
        <v>40000</v>
      </c>
      <c r="AF93" s="20"/>
      <c r="AG93" s="20" t="s">
        <v>47</v>
      </c>
      <c r="AH93" s="20" t="s">
        <v>51</v>
      </c>
      <c r="AI93" s="20"/>
      <c r="AJ93"/>
    </row>
    <row r="94" spans="1:36" ht="15" customHeight="1" x14ac:dyDescent="0.35">
      <c r="A94" s="12">
        <v>92</v>
      </c>
      <c r="B94" s="12" t="s">
        <v>51</v>
      </c>
      <c r="C94" s="12" t="s">
        <v>36</v>
      </c>
      <c r="D94" s="77" t="s">
        <v>37</v>
      </c>
      <c r="E94" s="74" t="s">
        <v>372</v>
      </c>
      <c r="F94" s="13" t="s">
        <v>666</v>
      </c>
      <c r="G94" s="20" t="s">
        <v>51</v>
      </c>
      <c r="H94" s="13" t="s">
        <v>667</v>
      </c>
      <c r="I94" s="25">
        <v>45965</v>
      </c>
      <c r="J94" s="20" t="s">
        <v>668</v>
      </c>
      <c r="K94" s="39" t="s">
        <v>669</v>
      </c>
      <c r="L94" s="20">
        <v>4</v>
      </c>
      <c r="M94" s="20">
        <v>4500</v>
      </c>
      <c r="N94" s="20"/>
      <c r="O94" s="42" t="s">
        <v>670</v>
      </c>
      <c r="P94" s="43"/>
      <c r="Q94" s="20"/>
      <c r="R94" s="38">
        <v>45992</v>
      </c>
      <c r="S94" s="38">
        <v>45977</v>
      </c>
      <c r="T94" s="20"/>
      <c r="U94" s="20"/>
      <c r="V94" s="20"/>
      <c r="W94" s="12" t="s">
        <v>71</v>
      </c>
      <c r="X94" s="20" t="s">
        <v>154</v>
      </c>
      <c r="Y94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94" s="20" t="s">
        <v>364</v>
      </c>
      <c r="AA94" s="20" t="s">
        <v>671</v>
      </c>
      <c r="AB94" s="20" t="s">
        <v>47</v>
      </c>
      <c r="AC94" s="20"/>
      <c r="AD94" s="20"/>
      <c r="AE94" s="20"/>
      <c r="AF94" s="20"/>
      <c r="AG94" s="20" t="s">
        <v>380</v>
      </c>
      <c r="AH94" s="20" t="s">
        <v>51</v>
      </c>
      <c r="AI94" s="20"/>
      <c r="AJ94"/>
    </row>
    <row r="95" spans="1:36" ht="15" customHeight="1" x14ac:dyDescent="0.35">
      <c r="A95" s="12">
        <v>93</v>
      </c>
      <c r="B95" s="78" t="s">
        <v>653</v>
      </c>
      <c r="C95" s="12" t="s">
        <v>36</v>
      </c>
      <c r="D95" s="77" t="s">
        <v>37</v>
      </c>
      <c r="E95" s="12" t="s">
        <v>672</v>
      </c>
      <c r="F95" s="13" t="s">
        <v>154</v>
      </c>
      <c r="G95" s="20" t="s">
        <v>51</v>
      </c>
      <c r="H95" s="13" t="s">
        <v>673</v>
      </c>
      <c r="I95" s="25" t="s">
        <v>51</v>
      </c>
      <c r="J95" s="20" t="s">
        <v>668</v>
      </c>
      <c r="K95" s="39" t="s">
        <v>669</v>
      </c>
      <c r="L95" s="20">
        <v>4</v>
      </c>
      <c r="M95" s="20" t="s">
        <v>51</v>
      </c>
      <c r="N95" s="20"/>
      <c r="O95" s="42" t="s">
        <v>674</v>
      </c>
      <c r="P95" s="43">
        <v>46030</v>
      </c>
      <c r="Q95" s="20"/>
      <c r="R95" s="43">
        <v>46030</v>
      </c>
      <c r="S95" s="43">
        <v>46025</v>
      </c>
      <c r="T95" s="20"/>
      <c r="U95" s="20"/>
      <c r="V95" s="20"/>
      <c r="W95" s="12" t="s">
        <v>675</v>
      </c>
      <c r="X95" s="20" t="s">
        <v>154</v>
      </c>
      <c r="Y95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95" s="20" t="s">
        <v>676</v>
      </c>
      <c r="AA95" s="20" t="s">
        <v>677</v>
      </c>
      <c r="AB95" s="20" t="s">
        <v>535</v>
      </c>
      <c r="AC95" s="20"/>
      <c r="AD95" s="20" t="s">
        <v>676</v>
      </c>
      <c r="AE95" s="20"/>
      <c r="AF95" s="20"/>
      <c r="AG95" s="20"/>
      <c r="AH95" s="20" t="s">
        <v>51</v>
      </c>
      <c r="AI95" s="20"/>
      <c r="AJ95"/>
    </row>
    <row r="96" spans="1:36" ht="15" customHeight="1" x14ac:dyDescent="0.35">
      <c r="A96" s="12">
        <v>94</v>
      </c>
      <c r="B96" s="78" t="s">
        <v>653</v>
      </c>
      <c r="C96" s="12" t="s">
        <v>36</v>
      </c>
      <c r="D96" s="77" t="s">
        <v>37</v>
      </c>
      <c r="E96" s="12" t="s">
        <v>153</v>
      </c>
      <c r="F96" s="13" t="s">
        <v>334</v>
      </c>
      <c r="G96" s="20" t="s">
        <v>51</v>
      </c>
      <c r="H96" s="13" t="s">
        <v>678</v>
      </c>
      <c r="I96" s="25">
        <v>45676</v>
      </c>
      <c r="J96" s="5" t="s">
        <v>679</v>
      </c>
      <c r="K96" s="39" t="s">
        <v>680</v>
      </c>
      <c r="L96" s="20">
        <v>11</v>
      </c>
      <c r="M96" s="20">
        <v>110</v>
      </c>
      <c r="N96" s="20"/>
      <c r="O96" s="42" t="s">
        <v>681</v>
      </c>
      <c r="P96" s="43">
        <v>46071</v>
      </c>
      <c r="Q96" s="20"/>
      <c r="R96" s="43">
        <v>46049</v>
      </c>
      <c r="S96" s="43"/>
      <c r="T96" s="20"/>
      <c r="U96" s="20"/>
      <c r="V96" s="20"/>
      <c r="W96" s="12" t="s">
        <v>57</v>
      </c>
      <c r="X96" s="20" t="s">
        <v>154</v>
      </c>
      <c r="Y96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96" s="20" t="s">
        <v>483</v>
      </c>
      <c r="AA96" s="20" t="s">
        <v>51</v>
      </c>
      <c r="AB96" s="20" t="s">
        <v>51</v>
      </c>
      <c r="AC96" s="20" t="s">
        <v>51</v>
      </c>
      <c r="AD96" s="20" t="s">
        <v>349</v>
      </c>
      <c r="AE96" s="20"/>
      <c r="AF96" s="20"/>
      <c r="AG96" s="20" t="s">
        <v>47</v>
      </c>
      <c r="AH96" s="20" t="s">
        <v>51</v>
      </c>
      <c r="AI96" s="20"/>
      <c r="AJ96"/>
    </row>
    <row r="97" spans="1:36" ht="15" customHeight="1" x14ac:dyDescent="0.35">
      <c r="A97" s="12">
        <v>95</v>
      </c>
      <c r="B97" s="78" t="s">
        <v>653</v>
      </c>
      <c r="C97" s="12" t="s">
        <v>36</v>
      </c>
      <c r="D97" s="77" t="s">
        <v>37</v>
      </c>
      <c r="E97" s="12" t="s">
        <v>153</v>
      </c>
      <c r="F97" s="13" t="s">
        <v>334</v>
      </c>
      <c r="G97" s="20" t="s">
        <v>51</v>
      </c>
      <c r="H97" s="13" t="s">
        <v>682</v>
      </c>
      <c r="I97" s="25">
        <v>46129</v>
      </c>
      <c r="J97" s="5" t="s">
        <v>683</v>
      </c>
      <c r="K97" s="39" t="s">
        <v>684</v>
      </c>
      <c r="L97" s="20" t="s">
        <v>51</v>
      </c>
      <c r="M97" s="20" t="s">
        <v>685</v>
      </c>
      <c r="N97" s="20"/>
      <c r="O97" s="42" t="s">
        <v>686</v>
      </c>
      <c r="P97" s="25">
        <v>46131</v>
      </c>
      <c r="Q97" s="20"/>
      <c r="R97" s="25">
        <v>46131</v>
      </c>
      <c r="S97" s="25">
        <v>46125</v>
      </c>
      <c r="T97" s="20"/>
      <c r="U97" s="20"/>
      <c r="V97" s="20"/>
      <c r="W97" s="12" t="s">
        <v>57</v>
      </c>
      <c r="X97" s="20" t="s">
        <v>154</v>
      </c>
      <c r="Y97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97" s="20" t="s">
        <v>483</v>
      </c>
      <c r="AA97" s="20" t="s">
        <v>51</v>
      </c>
      <c r="AB97" s="20" t="s">
        <v>51</v>
      </c>
      <c r="AC97" s="20" t="s">
        <v>51</v>
      </c>
      <c r="AD97" s="20" t="s">
        <v>687</v>
      </c>
      <c r="AE97" s="20" t="s">
        <v>688</v>
      </c>
      <c r="AF97" s="20"/>
      <c r="AG97" s="20" t="s">
        <v>47</v>
      </c>
      <c r="AH97" s="20" t="s">
        <v>51</v>
      </c>
      <c r="AI97" s="20"/>
      <c r="AJ97"/>
    </row>
    <row r="98" spans="1:36" ht="15" customHeight="1" x14ac:dyDescent="0.35">
      <c r="A98" s="12">
        <v>96</v>
      </c>
      <c r="B98" s="78" t="s">
        <v>653</v>
      </c>
      <c r="C98" s="12" t="s">
        <v>36</v>
      </c>
      <c r="D98" s="77" t="s">
        <v>37</v>
      </c>
      <c r="E98" s="12" t="s">
        <v>153</v>
      </c>
      <c r="F98" s="13" t="s">
        <v>323</v>
      </c>
      <c r="G98" s="20" t="s">
        <v>51</v>
      </c>
      <c r="H98" s="13" t="s">
        <v>689</v>
      </c>
      <c r="I98" s="25">
        <v>46141</v>
      </c>
      <c r="J98" s="5" t="s">
        <v>690</v>
      </c>
      <c r="K98" s="39">
        <v>3.78</v>
      </c>
      <c r="L98" s="20">
        <v>2</v>
      </c>
      <c r="M98" s="20" t="s">
        <v>691</v>
      </c>
      <c r="N98" s="20"/>
      <c r="O98" s="42" t="s">
        <v>692</v>
      </c>
      <c r="P98" s="25">
        <v>46153</v>
      </c>
      <c r="Q98" s="20"/>
      <c r="R98" s="25">
        <v>46146</v>
      </c>
      <c r="S98" s="25"/>
      <c r="T98" s="20"/>
      <c r="U98" s="20"/>
      <c r="V98" s="20"/>
      <c r="W98" s="12" t="s">
        <v>57</v>
      </c>
      <c r="X98" s="20" t="s">
        <v>397</v>
      </c>
      <c r="Y98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Fedex</v>
      </c>
      <c r="Z98" s="20" t="s">
        <v>483</v>
      </c>
      <c r="AA98" s="20" t="s">
        <v>51</v>
      </c>
      <c r="AB98" s="20" t="s">
        <v>341</v>
      </c>
      <c r="AC98" s="20"/>
      <c r="AD98" s="20" t="s">
        <v>252</v>
      </c>
      <c r="AE98" s="20"/>
      <c r="AF98" s="20" t="s">
        <v>693</v>
      </c>
      <c r="AG98" s="20" t="s">
        <v>47</v>
      </c>
      <c r="AH98" s="20"/>
      <c r="AI98" s="20"/>
      <c r="AJ98"/>
    </row>
    <row r="99" spans="1:36" ht="15" customHeight="1" x14ac:dyDescent="0.35">
      <c r="A99" s="12">
        <v>97</v>
      </c>
      <c r="B99" s="78" t="s">
        <v>653</v>
      </c>
      <c r="C99" s="12" t="s">
        <v>36</v>
      </c>
      <c r="D99" s="77" t="s">
        <v>37</v>
      </c>
      <c r="E99" s="12" t="s">
        <v>153</v>
      </c>
      <c r="F99" s="13" t="s">
        <v>694</v>
      </c>
      <c r="G99" s="20" t="s">
        <v>51</v>
      </c>
      <c r="H99" s="13" t="s">
        <v>695</v>
      </c>
      <c r="I99" s="25">
        <v>46175</v>
      </c>
      <c r="J99" s="5" t="s">
        <v>696</v>
      </c>
      <c r="K99" s="39" t="s">
        <v>697</v>
      </c>
      <c r="L99" s="20">
        <v>2</v>
      </c>
      <c r="M99" s="20" t="s">
        <v>698</v>
      </c>
      <c r="N99" s="20"/>
      <c r="O99" s="42" t="s">
        <v>699</v>
      </c>
      <c r="P99" s="25">
        <v>46190</v>
      </c>
      <c r="Q99" s="20"/>
      <c r="R99" s="25">
        <v>46180</v>
      </c>
      <c r="S99" s="25"/>
      <c r="T99" s="20"/>
      <c r="U99" s="20"/>
      <c r="V99" s="20"/>
      <c r="W99" s="12" t="s">
        <v>57</v>
      </c>
      <c r="X99" s="20" t="s">
        <v>254</v>
      </c>
      <c r="Y99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DHL</v>
      </c>
      <c r="Z99" s="20" t="s">
        <v>700</v>
      </c>
      <c r="AA99" s="20" t="s">
        <v>51</v>
      </c>
      <c r="AB99" s="20" t="s">
        <v>341</v>
      </c>
      <c r="AC99" s="20"/>
      <c r="AD99" s="20" t="s">
        <v>252</v>
      </c>
      <c r="AE99" s="20" t="s">
        <v>701</v>
      </c>
      <c r="AF99" s="20" t="s">
        <v>160</v>
      </c>
      <c r="AG99" s="20" t="s">
        <v>47</v>
      </c>
      <c r="AH99" s="20" t="s">
        <v>51</v>
      </c>
      <c r="AI99" s="20"/>
      <c r="AJ99"/>
    </row>
    <row r="100" spans="1:36" ht="15" customHeight="1" x14ac:dyDescent="0.35">
      <c r="A100" s="12">
        <v>98</v>
      </c>
      <c r="B100" s="78" t="s">
        <v>653</v>
      </c>
      <c r="C100" s="12" t="s">
        <v>36</v>
      </c>
      <c r="D100" s="77" t="s">
        <v>37</v>
      </c>
      <c r="E100" s="12" t="s">
        <v>660</v>
      </c>
      <c r="F100" s="13" t="s">
        <v>455</v>
      </c>
      <c r="G100" s="20" t="s">
        <v>51</v>
      </c>
      <c r="H100" s="13">
        <v>429059</v>
      </c>
      <c r="I100" s="25">
        <v>46188</v>
      </c>
      <c r="J100" s="5" t="s">
        <v>702</v>
      </c>
      <c r="K100" s="39" t="s">
        <v>703</v>
      </c>
      <c r="L100" s="20">
        <v>25</v>
      </c>
      <c r="M100" s="20" t="s">
        <v>704</v>
      </c>
      <c r="N100" s="20"/>
      <c r="O100" s="49" t="s">
        <v>705</v>
      </c>
      <c r="P100" s="25">
        <v>46195</v>
      </c>
      <c r="Q100" s="20"/>
      <c r="R100" s="25"/>
      <c r="S100" s="25"/>
      <c r="T100" s="20"/>
      <c r="U100" s="20"/>
      <c r="V100" s="20"/>
      <c r="W100" s="12" t="s">
        <v>57</v>
      </c>
      <c r="X100" s="20" t="s">
        <v>644</v>
      </c>
      <c r="Y100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UPS</v>
      </c>
      <c r="Z100" s="20" t="s">
        <v>639</v>
      </c>
      <c r="AA100" s="20" t="s">
        <v>51</v>
      </c>
      <c r="AB100" s="20" t="s">
        <v>341</v>
      </c>
      <c r="AC100" s="20"/>
      <c r="AD100" s="20" t="s">
        <v>252</v>
      </c>
      <c r="AE100" s="20" t="s">
        <v>706</v>
      </c>
      <c r="AF100" s="20" t="s">
        <v>160</v>
      </c>
      <c r="AG100" s="20" t="s">
        <v>47</v>
      </c>
      <c r="AH100" s="20" t="s">
        <v>51</v>
      </c>
      <c r="AI100" s="20"/>
      <c r="AJ100"/>
    </row>
    <row r="101" spans="1:36" ht="15" customHeight="1" x14ac:dyDescent="0.35">
      <c r="A101" s="12">
        <v>99</v>
      </c>
      <c r="B101" s="12" t="s">
        <v>676</v>
      </c>
      <c r="C101" s="20" t="s">
        <v>36</v>
      </c>
      <c r="D101" s="77" t="s">
        <v>37</v>
      </c>
      <c r="E101" s="12" t="s">
        <v>672</v>
      </c>
      <c r="F101" s="13" t="s">
        <v>707</v>
      </c>
      <c r="G101" s="20" t="s">
        <v>51</v>
      </c>
      <c r="H101" s="13" t="s">
        <v>51</v>
      </c>
      <c r="I101" s="25" t="s">
        <v>51</v>
      </c>
      <c r="J101" s="20" t="s">
        <v>708</v>
      </c>
      <c r="K101" s="72" t="s">
        <v>709</v>
      </c>
      <c r="L101" s="20" t="s">
        <v>710</v>
      </c>
      <c r="M101" s="20" t="s">
        <v>51</v>
      </c>
      <c r="N101" s="20"/>
      <c r="O101" s="42" t="s">
        <v>711</v>
      </c>
      <c r="P101" s="43">
        <v>46192</v>
      </c>
      <c r="Q101" s="20"/>
      <c r="R101" s="20"/>
      <c r="S101" s="20"/>
      <c r="T101" s="20"/>
      <c r="U101" s="20"/>
      <c r="V101" s="20"/>
      <c r="W101" s="12" t="s">
        <v>51</v>
      </c>
      <c r="X101" s="20" t="s">
        <v>359</v>
      </c>
      <c r="Y101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01" s="20" t="s">
        <v>676</v>
      </c>
      <c r="AA101" s="20" t="s">
        <v>712</v>
      </c>
      <c r="AB101" s="20" t="s">
        <v>47</v>
      </c>
      <c r="AC101" s="20"/>
      <c r="AD101" s="20" t="s">
        <v>676</v>
      </c>
      <c r="AE101" s="20" t="s">
        <v>51</v>
      </c>
      <c r="AF101" s="20"/>
      <c r="AG101" s="20" t="s">
        <v>51</v>
      </c>
      <c r="AH101" s="20" t="s">
        <v>51</v>
      </c>
      <c r="AI101" s="20" t="s">
        <v>51</v>
      </c>
      <c r="AJ101"/>
    </row>
    <row r="102" spans="1:36" ht="15" customHeight="1" x14ac:dyDescent="0.35">
      <c r="A102" s="12">
        <v>100</v>
      </c>
      <c r="B102" s="12" t="s">
        <v>676</v>
      </c>
      <c r="C102" s="20" t="s">
        <v>36</v>
      </c>
      <c r="D102" s="77" t="s">
        <v>37</v>
      </c>
      <c r="E102" s="12" t="s">
        <v>672</v>
      </c>
      <c r="F102" s="13" t="s">
        <v>397</v>
      </c>
      <c r="G102" s="20" t="s">
        <v>51</v>
      </c>
      <c r="H102" s="13" t="s">
        <v>51</v>
      </c>
      <c r="I102" s="25" t="s">
        <v>51</v>
      </c>
      <c r="J102" s="20" t="s">
        <v>713</v>
      </c>
      <c r="K102" s="72" t="s">
        <v>714</v>
      </c>
      <c r="L102" s="20" t="s">
        <v>715</v>
      </c>
      <c r="M102" s="20" t="s">
        <v>51</v>
      </c>
      <c r="N102" s="20"/>
      <c r="O102" s="42" t="s">
        <v>711</v>
      </c>
      <c r="P102" s="43">
        <v>46192</v>
      </c>
      <c r="Q102" s="20"/>
      <c r="R102" s="20"/>
      <c r="S102" s="20"/>
      <c r="T102" s="20"/>
      <c r="U102" s="20"/>
      <c r="V102" s="20"/>
      <c r="W102" s="12" t="s">
        <v>51</v>
      </c>
      <c r="X102" s="20" t="s">
        <v>397</v>
      </c>
      <c r="Y102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02" s="20" t="s">
        <v>676</v>
      </c>
      <c r="AA102" s="20" t="s">
        <v>716</v>
      </c>
      <c r="AB102" s="20" t="s">
        <v>47</v>
      </c>
      <c r="AC102" s="20"/>
      <c r="AD102" s="20" t="s">
        <v>676</v>
      </c>
      <c r="AE102" s="20" t="s">
        <v>51</v>
      </c>
      <c r="AF102" s="20"/>
      <c r="AG102" s="20" t="s">
        <v>51</v>
      </c>
      <c r="AH102" s="20" t="s">
        <v>51</v>
      </c>
      <c r="AI102" s="20" t="s">
        <v>51</v>
      </c>
      <c r="AJ102"/>
    </row>
    <row r="103" spans="1:36" ht="15" customHeight="1" x14ac:dyDescent="0.35">
      <c r="A103" s="12">
        <v>101</v>
      </c>
      <c r="B103" s="78" t="s">
        <v>653</v>
      </c>
      <c r="C103" s="20" t="s">
        <v>36</v>
      </c>
      <c r="D103" s="77" t="s">
        <v>37</v>
      </c>
      <c r="E103" s="12" t="s">
        <v>153</v>
      </c>
      <c r="F103" s="13" t="s">
        <v>568</v>
      </c>
      <c r="G103" s="20" t="s">
        <v>51</v>
      </c>
      <c r="H103" s="13" t="s">
        <v>717</v>
      </c>
      <c r="I103" s="25">
        <v>46210</v>
      </c>
      <c r="J103" s="71" t="s">
        <v>718</v>
      </c>
      <c r="K103" s="72" t="s">
        <v>719</v>
      </c>
      <c r="L103" s="20">
        <v>1</v>
      </c>
      <c r="M103" s="20" t="s">
        <v>720</v>
      </c>
      <c r="N103" s="20"/>
      <c r="O103" s="42" t="s">
        <v>721</v>
      </c>
      <c r="P103" s="43">
        <v>46222</v>
      </c>
      <c r="Q103" s="20"/>
      <c r="R103" s="20"/>
      <c r="S103" s="20"/>
      <c r="T103" s="20"/>
      <c r="U103" s="20"/>
      <c r="V103" s="20"/>
      <c r="W103" s="12" t="s">
        <v>57</v>
      </c>
      <c r="X103" s="20" t="s">
        <v>533</v>
      </c>
      <c r="Y103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UPS</v>
      </c>
      <c r="Z103" s="20" t="s">
        <v>639</v>
      </c>
      <c r="AA103" s="20" t="s">
        <v>51</v>
      </c>
      <c r="AB103" s="20" t="s">
        <v>341</v>
      </c>
      <c r="AC103" s="20"/>
      <c r="AD103" s="20" t="s">
        <v>722</v>
      </c>
      <c r="AE103" s="20" t="s">
        <v>723</v>
      </c>
      <c r="AF103" s="20"/>
      <c r="AG103" s="20" t="s">
        <v>47</v>
      </c>
      <c r="AH103" s="20" t="s">
        <v>51</v>
      </c>
      <c r="AI103" s="20"/>
      <c r="AJ103"/>
    </row>
    <row r="104" spans="1:36" ht="15" customHeight="1" x14ac:dyDescent="0.35">
      <c r="A104" s="12">
        <v>102</v>
      </c>
      <c r="B104" s="78" t="s">
        <v>653</v>
      </c>
      <c r="C104" s="12" t="s">
        <v>36</v>
      </c>
      <c r="D104" s="77" t="s">
        <v>37</v>
      </c>
      <c r="E104" s="12" t="s">
        <v>153</v>
      </c>
      <c r="F104" s="13" t="s">
        <v>303</v>
      </c>
      <c r="G104" s="20" t="s">
        <v>51</v>
      </c>
      <c r="H104" s="13">
        <v>819962424</v>
      </c>
      <c r="I104" s="25">
        <v>46197</v>
      </c>
      <c r="J104" s="71" t="s">
        <v>724</v>
      </c>
      <c r="K104" s="72" t="s">
        <v>725</v>
      </c>
      <c r="L104" s="20" t="s">
        <v>726</v>
      </c>
      <c r="M104" s="20" t="s">
        <v>727</v>
      </c>
      <c r="N104" s="20"/>
      <c r="O104" s="42" t="s">
        <v>728</v>
      </c>
      <c r="P104" s="43">
        <v>46225</v>
      </c>
      <c r="Q104" s="20"/>
      <c r="R104" s="38">
        <v>46215</v>
      </c>
      <c r="S104" s="20"/>
      <c r="T104" s="20"/>
      <c r="U104" s="20"/>
      <c r="V104" s="20"/>
      <c r="W104" s="12" t="s">
        <v>57</v>
      </c>
      <c r="X104" s="20" t="s">
        <v>187</v>
      </c>
      <c r="Y104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UPS</v>
      </c>
      <c r="Z104" s="20" t="s">
        <v>665</v>
      </c>
      <c r="AA104" s="20" t="s">
        <v>51</v>
      </c>
      <c r="AB104" s="20" t="s">
        <v>51</v>
      </c>
      <c r="AC104" s="20"/>
      <c r="AD104" s="20" t="s">
        <v>729</v>
      </c>
      <c r="AE104" s="20" t="s">
        <v>730</v>
      </c>
      <c r="AF104" s="20"/>
      <c r="AG104" s="20" t="s">
        <v>47</v>
      </c>
      <c r="AH104" s="20" t="s">
        <v>81</v>
      </c>
      <c r="AI104" s="20"/>
      <c r="AJ104"/>
    </row>
    <row r="105" spans="1:36" ht="15" customHeight="1" x14ac:dyDescent="0.35">
      <c r="A105" s="12">
        <v>103</v>
      </c>
      <c r="B105" s="78" t="s">
        <v>653</v>
      </c>
      <c r="C105" s="12" t="s">
        <v>36</v>
      </c>
      <c r="D105" s="77" t="s">
        <v>37</v>
      </c>
      <c r="E105" s="12" t="s">
        <v>153</v>
      </c>
      <c r="F105" s="13" t="s">
        <v>334</v>
      </c>
      <c r="G105" s="20" t="s">
        <v>51</v>
      </c>
      <c r="H105" s="13">
        <v>3929369926</v>
      </c>
      <c r="I105" s="25">
        <v>46247</v>
      </c>
      <c r="J105" s="71" t="s">
        <v>731</v>
      </c>
      <c r="K105" s="72" t="s">
        <v>732</v>
      </c>
      <c r="L105" s="20">
        <v>1</v>
      </c>
      <c r="M105" s="20">
        <v>5</v>
      </c>
      <c r="N105" s="20"/>
      <c r="O105" s="42" t="s">
        <v>733</v>
      </c>
      <c r="P105" s="43">
        <v>46250</v>
      </c>
      <c r="Q105" s="20"/>
      <c r="R105" s="38"/>
      <c r="S105" s="20"/>
      <c r="T105" s="20"/>
      <c r="U105" s="20"/>
      <c r="V105" s="20"/>
      <c r="W105" s="12"/>
      <c r="X105" s="20"/>
      <c r="Y105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/>
    </row>
    <row r="106" spans="1:36" ht="15" customHeight="1" x14ac:dyDescent="0.35">
      <c r="A106" s="12">
        <v>104</v>
      </c>
      <c r="B106" s="12" t="s">
        <v>734</v>
      </c>
      <c r="C106" s="12" t="s">
        <v>36</v>
      </c>
      <c r="D106" s="13" t="s">
        <v>771</v>
      </c>
      <c r="E106" s="12" t="s">
        <v>38</v>
      </c>
      <c r="F106" s="13" t="s">
        <v>397</v>
      </c>
      <c r="G106" s="42" t="s">
        <v>735</v>
      </c>
      <c r="H106" s="13" t="s">
        <v>736</v>
      </c>
      <c r="I106" s="25">
        <v>46223</v>
      </c>
      <c r="J106" s="20" t="s">
        <v>737</v>
      </c>
      <c r="K106" s="80">
        <v>2797.6</v>
      </c>
      <c r="L106" s="20">
        <v>4</v>
      </c>
      <c r="M106" s="73">
        <v>10230</v>
      </c>
      <c r="N106" s="20"/>
      <c r="O106" s="42" t="s">
        <v>738</v>
      </c>
      <c r="P106" s="43"/>
      <c r="Q106" s="20"/>
      <c r="R106" s="38">
        <v>46266</v>
      </c>
      <c r="S106" s="20"/>
      <c r="T106" s="20"/>
      <c r="U106" s="20"/>
      <c r="V106" s="20" t="s">
        <v>739</v>
      </c>
      <c r="W106" s="12" t="s">
        <v>658</v>
      </c>
      <c r="X106" s="20" t="s">
        <v>397</v>
      </c>
      <c r="Y106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06" s="20" t="s">
        <v>676</v>
      </c>
      <c r="AA106" s="20" t="s">
        <v>740</v>
      </c>
      <c r="AB106" s="20"/>
      <c r="AC106" s="20"/>
      <c r="AD106" s="20"/>
      <c r="AE106" s="20"/>
      <c r="AF106" s="20"/>
      <c r="AG106" s="20"/>
      <c r="AH106" s="20"/>
      <c r="AI106" s="81"/>
      <c r="AJ106"/>
    </row>
    <row r="107" spans="1:36" ht="15" customHeight="1" x14ac:dyDescent="0.35">
      <c r="A107" s="12">
        <v>105</v>
      </c>
      <c r="B107" s="12" t="s">
        <v>653</v>
      </c>
      <c r="C107" s="12" t="s">
        <v>36</v>
      </c>
      <c r="D107" s="13" t="s">
        <v>771</v>
      </c>
      <c r="E107" s="12" t="s">
        <v>153</v>
      </c>
      <c r="F107" s="13" t="s">
        <v>605</v>
      </c>
      <c r="G107" s="42" t="s">
        <v>741</v>
      </c>
      <c r="H107" t="s">
        <v>742</v>
      </c>
      <c r="I107" s="25">
        <v>46252</v>
      </c>
      <c r="J107" s="20">
        <v>1500</v>
      </c>
      <c r="K107" s="80">
        <v>708.5</v>
      </c>
      <c r="L107" s="20">
        <v>1500</v>
      </c>
      <c r="M107" s="73">
        <v>21120</v>
      </c>
      <c r="N107" s="20"/>
      <c r="O107" s="42" t="s">
        <v>743</v>
      </c>
      <c r="P107" s="43"/>
      <c r="Q107" s="20"/>
      <c r="R107" s="38">
        <v>46300</v>
      </c>
      <c r="S107" s="38">
        <v>46281</v>
      </c>
      <c r="T107" s="20"/>
      <c r="U107" s="20"/>
      <c r="V107" s="20"/>
      <c r="W107" s="12" t="s">
        <v>71</v>
      </c>
      <c r="X107" s="20" t="s">
        <v>744</v>
      </c>
      <c r="Y107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07" s="20" t="s">
        <v>364</v>
      </c>
      <c r="AA107" s="20" t="s">
        <v>745</v>
      </c>
      <c r="AB107" s="20"/>
      <c r="AC107" s="20"/>
      <c r="AD107" s="20"/>
      <c r="AE107" s="20"/>
      <c r="AF107" s="20"/>
      <c r="AG107" s="20"/>
      <c r="AH107" s="20"/>
      <c r="AI107" s="81"/>
      <c r="AJ107"/>
    </row>
    <row r="108" spans="1:36" ht="15" customHeight="1" x14ac:dyDescent="0.35">
      <c r="A108" s="12">
        <v>106</v>
      </c>
      <c r="B108" s="78" t="s">
        <v>653</v>
      </c>
      <c r="C108" s="12" t="s">
        <v>36</v>
      </c>
      <c r="D108" s="13" t="s">
        <v>381</v>
      </c>
      <c r="E108" s="12" t="s">
        <v>153</v>
      </c>
      <c r="F108" s="13" t="s">
        <v>161</v>
      </c>
      <c r="G108" s="20" t="s">
        <v>51</v>
      </c>
      <c r="H108" s="13" t="s">
        <v>746</v>
      </c>
      <c r="I108" s="25">
        <v>46064</v>
      </c>
      <c r="J108" s="33" t="s">
        <v>747</v>
      </c>
      <c r="K108" s="39"/>
      <c r="L108" s="20">
        <v>5</v>
      </c>
      <c r="M108" s="73">
        <v>12500</v>
      </c>
      <c r="N108" s="20"/>
      <c r="O108" s="42"/>
      <c r="P108" s="43"/>
      <c r="Q108" s="20"/>
      <c r="R108" s="43"/>
      <c r="S108" s="43"/>
      <c r="T108" s="20"/>
      <c r="U108" s="20"/>
      <c r="V108" s="20"/>
      <c r="W108" s="12"/>
      <c r="X108" s="20"/>
      <c r="Y108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/>
    </row>
    <row r="109" spans="1:36" ht="15" customHeight="1" x14ac:dyDescent="0.35">
      <c r="A109" s="12">
        <v>107</v>
      </c>
      <c r="B109" s="78" t="s">
        <v>653</v>
      </c>
      <c r="C109" s="12" t="s">
        <v>36</v>
      </c>
      <c r="D109" s="13" t="s">
        <v>381</v>
      </c>
      <c r="E109" s="12" t="s">
        <v>153</v>
      </c>
      <c r="F109" s="13" t="s">
        <v>161</v>
      </c>
      <c r="G109" s="20"/>
      <c r="H109" s="13" t="s">
        <v>748</v>
      </c>
      <c r="I109" s="25">
        <v>46044</v>
      </c>
      <c r="J109" s="33" t="s">
        <v>747</v>
      </c>
      <c r="K109" s="39"/>
      <c r="L109" s="20">
        <v>5</v>
      </c>
      <c r="M109" s="73">
        <v>12500</v>
      </c>
      <c r="N109" s="20"/>
      <c r="O109" s="42"/>
      <c r="P109" s="43"/>
      <c r="Q109" s="20"/>
      <c r="R109" s="43"/>
      <c r="S109" s="43"/>
      <c r="T109" s="20"/>
      <c r="U109" s="20"/>
      <c r="V109" s="20"/>
      <c r="W109" s="12"/>
      <c r="X109" s="20"/>
      <c r="Y109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/>
    </row>
    <row r="110" spans="1:36" ht="15" customHeight="1" x14ac:dyDescent="0.35">
      <c r="A110" s="12">
        <v>108</v>
      </c>
      <c r="B110" s="78" t="s">
        <v>653</v>
      </c>
      <c r="C110" s="12" t="s">
        <v>36</v>
      </c>
      <c r="D110" s="13" t="s">
        <v>381</v>
      </c>
      <c r="E110" s="12" t="s">
        <v>153</v>
      </c>
      <c r="F110" s="13" t="s">
        <v>154</v>
      </c>
      <c r="G110" s="20"/>
      <c r="H110" s="12" t="s">
        <v>749</v>
      </c>
      <c r="I110" s="25">
        <v>46065</v>
      </c>
      <c r="J110" s="71" t="s">
        <v>750</v>
      </c>
      <c r="K110" s="39"/>
      <c r="L110" s="20">
        <v>20</v>
      </c>
      <c r="M110" s="20"/>
      <c r="N110" s="20"/>
      <c r="O110" s="42"/>
      <c r="P110" s="43"/>
      <c r="Q110" s="20"/>
      <c r="R110" s="20"/>
      <c r="S110" s="20"/>
      <c r="T110" s="20"/>
      <c r="U110" s="20"/>
      <c r="V110" s="20"/>
      <c r="W110" s="12"/>
      <c r="X110" s="20"/>
      <c r="Y110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/>
    </row>
    <row r="111" spans="1:36" ht="15" customHeight="1" x14ac:dyDescent="0.35">
      <c r="A111" s="12">
        <v>109</v>
      </c>
      <c r="B111" s="78" t="s">
        <v>653</v>
      </c>
      <c r="C111" s="12" t="s">
        <v>36</v>
      </c>
      <c r="D111" s="13" t="s">
        <v>381</v>
      </c>
      <c r="E111" s="12" t="s">
        <v>153</v>
      </c>
      <c r="F111" s="13" t="s">
        <v>154</v>
      </c>
      <c r="G111" s="20"/>
      <c r="H111" s="12" t="s">
        <v>751</v>
      </c>
      <c r="I111" s="25">
        <v>46195</v>
      </c>
      <c r="J111" s="71" t="s">
        <v>752</v>
      </c>
      <c r="K111" s="39"/>
      <c r="L111" s="20">
        <v>23</v>
      </c>
      <c r="M111" s="79">
        <v>20010</v>
      </c>
      <c r="N111" s="20"/>
      <c r="O111" s="42"/>
      <c r="P111" s="43"/>
      <c r="Q111" s="20"/>
      <c r="R111" s="20"/>
      <c r="S111" s="20"/>
      <c r="T111" s="20"/>
      <c r="U111" s="20"/>
      <c r="V111" s="20"/>
      <c r="W111" s="12"/>
      <c r="X111" s="20"/>
      <c r="Y111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/>
    </row>
    <row r="112" spans="1:36" ht="15" customHeight="1" x14ac:dyDescent="0.35">
      <c r="A112" s="12">
        <v>110</v>
      </c>
      <c r="B112" s="78" t="s">
        <v>653</v>
      </c>
      <c r="C112" s="12" t="s">
        <v>36</v>
      </c>
      <c r="D112" s="13" t="s">
        <v>381</v>
      </c>
      <c r="E112" s="12" t="s">
        <v>753</v>
      </c>
      <c r="F112" s="13" t="s">
        <v>161</v>
      </c>
      <c r="G112" s="20"/>
      <c r="H112" s="13" t="s">
        <v>754</v>
      </c>
      <c r="I112" s="25">
        <v>46128</v>
      </c>
      <c r="J112" s="33" t="s">
        <v>755</v>
      </c>
      <c r="K112" s="72"/>
      <c r="L112" s="20">
        <v>2</v>
      </c>
      <c r="M112" s="20"/>
      <c r="N112" s="20"/>
      <c r="O112" s="42"/>
      <c r="P112" s="43"/>
      <c r="Q112" s="20"/>
      <c r="R112" s="20"/>
      <c r="S112" s="20"/>
      <c r="T112" s="20"/>
      <c r="U112" s="20"/>
      <c r="V112" s="20"/>
      <c r="W112" s="12"/>
      <c r="X112" s="20"/>
      <c r="Y112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/>
    </row>
    <row r="113" spans="1:36" ht="15" customHeight="1" x14ac:dyDescent="0.35">
      <c r="A113" s="12">
        <v>111</v>
      </c>
      <c r="B113" s="78" t="s">
        <v>653</v>
      </c>
      <c r="C113" s="12" t="s">
        <v>36</v>
      </c>
      <c r="D113" s="13" t="s">
        <v>381</v>
      </c>
      <c r="E113" s="12" t="s">
        <v>153</v>
      </c>
      <c r="F113" s="13" t="s">
        <v>254</v>
      </c>
      <c r="G113" s="20"/>
      <c r="H113" s="13" t="s">
        <v>756</v>
      </c>
      <c r="I113" s="25">
        <v>46254</v>
      </c>
      <c r="J113" s="71" t="s">
        <v>757</v>
      </c>
      <c r="K113" s="72"/>
      <c r="L113" s="20">
        <v>1</v>
      </c>
      <c r="M113" s="20" t="s">
        <v>758</v>
      </c>
      <c r="N113" s="20"/>
      <c r="O113" s="42"/>
      <c r="P113" s="43"/>
      <c r="Q113" s="20"/>
      <c r="R113" s="20"/>
      <c r="S113" s="20"/>
      <c r="T113" s="20"/>
      <c r="U113" s="20"/>
      <c r="V113" s="20"/>
      <c r="W113" s="12"/>
      <c r="X113" s="20"/>
      <c r="Y113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/>
    </row>
    <row r="114" spans="1:36" ht="15" customHeight="1" x14ac:dyDescent="0.35">
      <c r="A114" s="12">
        <v>112</v>
      </c>
      <c r="B114" s="12" t="s">
        <v>653</v>
      </c>
      <c r="C114" s="12" t="s">
        <v>36</v>
      </c>
      <c r="D114" s="13" t="s">
        <v>381</v>
      </c>
      <c r="E114" s="12" t="s">
        <v>153</v>
      </c>
      <c r="F114" s="13" t="s">
        <v>254</v>
      </c>
      <c r="G114" s="20"/>
      <c r="H114" s="13" t="s">
        <v>759</v>
      </c>
      <c r="I114" s="25">
        <v>46260</v>
      </c>
      <c r="J114" s="71" t="s">
        <v>760</v>
      </c>
      <c r="K114" s="39"/>
      <c r="L114" s="20">
        <v>1</v>
      </c>
      <c r="M114" s="20" t="s">
        <v>761</v>
      </c>
      <c r="N114" s="20"/>
      <c r="O114" s="42"/>
      <c r="P114" s="43"/>
      <c r="Q114" s="20"/>
      <c r="R114" s="20"/>
      <c r="S114" s="20"/>
      <c r="T114" s="20"/>
      <c r="U114" s="20"/>
      <c r="V114" s="20"/>
      <c r="W114" s="12"/>
      <c r="X114" s="20"/>
      <c r="Y114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/>
    </row>
    <row r="115" spans="1:36" ht="15" customHeight="1" x14ac:dyDescent="0.35">
      <c r="A115" s="12">
        <v>113</v>
      </c>
      <c r="B115" s="12" t="s">
        <v>653</v>
      </c>
      <c r="C115" s="12" t="s">
        <v>36</v>
      </c>
      <c r="D115" s="13" t="s">
        <v>381</v>
      </c>
      <c r="E115" s="12" t="s">
        <v>153</v>
      </c>
      <c r="F115" s="13" t="s">
        <v>254</v>
      </c>
      <c r="G115" s="20"/>
      <c r="H115" s="13" t="s">
        <v>762</v>
      </c>
      <c r="I115" s="25">
        <v>46266</v>
      </c>
      <c r="J115" s="71" t="s">
        <v>763</v>
      </c>
      <c r="K115" s="39"/>
      <c r="L115" s="20">
        <v>2</v>
      </c>
      <c r="M115" s="20" t="s">
        <v>764</v>
      </c>
      <c r="N115" s="20"/>
      <c r="O115" s="42"/>
      <c r="P115" s="43"/>
      <c r="Q115" s="20"/>
      <c r="R115" s="20"/>
      <c r="S115" s="20"/>
      <c r="T115" s="20"/>
      <c r="U115" s="20"/>
      <c r="V115" s="20"/>
      <c r="W115" s="12"/>
      <c r="X115" s="20"/>
      <c r="Y115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/>
    </row>
    <row r="116" spans="1:36" ht="15" customHeight="1" x14ac:dyDescent="0.35">
      <c r="A116" s="12">
        <v>114</v>
      </c>
      <c r="B116" s="12" t="s">
        <v>653</v>
      </c>
      <c r="C116" s="12" t="s">
        <v>36</v>
      </c>
      <c r="D116" s="13" t="s">
        <v>381</v>
      </c>
      <c r="E116" s="12" t="s">
        <v>153</v>
      </c>
      <c r="F116" s="13" t="s">
        <v>254</v>
      </c>
      <c r="G116" s="20"/>
      <c r="H116" s="13" t="s">
        <v>765</v>
      </c>
      <c r="I116" s="25">
        <v>46279</v>
      </c>
      <c r="J116" s="71" t="s">
        <v>766</v>
      </c>
      <c r="K116" s="39"/>
      <c r="L116" s="20">
        <v>2</v>
      </c>
      <c r="M116" s="20">
        <v>15000</v>
      </c>
      <c r="N116" s="20"/>
      <c r="O116" s="42"/>
      <c r="P116" s="43"/>
      <c r="Q116" s="20"/>
      <c r="R116" s="20"/>
      <c r="S116" s="20"/>
      <c r="T116" s="20"/>
      <c r="U116" s="20"/>
      <c r="V116" s="20"/>
      <c r="W116" s="12"/>
      <c r="X116" s="20"/>
      <c r="Y116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/>
    </row>
    <row r="117" spans="1:36" ht="15" customHeight="1" x14ac:dyDescent="0.35">
      <c r="A117" s="12">
        <v>115</v>
      </c>
      <c r="B117" s="78" t="s">
        <v>653</v>
      </c>
      <c r="C117" s="12" t="s">
        <v>36</v>
      </c>
      <c r="D117" s="13" t="s">
        <v>381</v>
      </c>
      <c r="E117" s="12" t="s">
        <v>153</v>
      </c>
      <c r="F117" s="13" t="s">
        <v>254</v>
      </c>
      <c r="G117" s="20"/>
      <c r="H117" s="13" t="s">
        <v>767</v>
      </c>
      <c r="I117" s="25">
        <v>46290</v>
      </c>
      <c r="J117" s="71" t="s">
        <v>768</v>
      </c>
      <c r="K117" s="72"/>
      <c r="L117" s="20">
        <v>4</v>
      </c>
      <c r="M117" s="20" t="s">
        <v>769</v>
      </c>
      <c r="N117" s="20"/>
      <c r="O117" s="42"/>
      <c r="P117" s="43"/>
      <c r="Q117" s="20"/>
      <c r="R117" s="20"/>
      <c r="S117" s="20"/>
      <c r="T117" s="20"/>
      <c r="U117" s="20"/>
      <c r="V117" s="20"/>
      <c r="W117" s="12"/>
      <c r="X117" s="20"/>
      <c r="Y117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/>
    </row>
    <row r="118" spans="1:36" ht="15" customHeight="1" x14ac:dyDescent="0.35">
      <c r="A118" s="12">
        <v>116</v>
      </c>
      <c r="B118" s="78" t="s">
        <v>653</v>
      </c>
      <c r="C118" s="12" t="s">
        <v>36</v>
      </c>
      <c r="D118" s="13" t="s">
        <v>381</v>
      </c>
      <c r="E118" s="12" t="s">
        <v>153</v>
      </c>
      <c r="F118" s="13" t="s">
        <v>254</v>
      </c>
      <c r="G118" s="20"/>
      <c r="H118" s="13" t="s">
        <v>770</v>
      </c>
      <c r="I118" s="25">
        <v>46300</v>
      </c>
      <c r="J118" s="71" t="s">
        <v>768</v>
      </c>
      <c r="K118" s="72"/>
      <c r="L118" s="20">
        <v>4</v>
      </c>
      <c r="M118" s="20" t="s">
        <v>769</v>
      </c>
      <c r="N118" s="20"/>
      <c r="O118" s="42"/>
      <c r="P118" s="43"/>
      <c r="Q118" s="20"/>
      <c r="R118" s="20"/>
      <c r="S118" s="20"/>
      <c r="T118" s="20"/>
      <c r="U118" s="20"/>
      <c r="V118" s="20"/>
      <c r="W118" s="12"/>
      <c r="X118" s="20"/>
      <c r="Y118" s="20" t="str">
        <f>IF(ISNUMBER(SEARCH("DHL",Table4[[#This Row],[freight forwarder]])),"DHL",
IF(ISNUMBER(SEARCH("UPS",Table4[[#This Row],[freight forwarder]])),"UPS",
 IF(ISNUMBER(SEARCH("Fedex",Table4[[#This Row],[freight forwarder]])),"Fedex",
 IF(ISNUMBER(SEARCH("Aramex",Table4[[#This Row],[freight forwarder]])),"Aramex","-"))))</f>
        <v>-</v>
      </c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/>
    </row>
  </sheetData>
  <conditionalFormatting sqref="H35:H42 I3:I9">
    <cfRule type="cellIs" dxfId="90" priority="30" operator="equal">
      <formula>"Done"</formula>
    </cfRule>
  </conditionalFormatting>
  <conditionalFormatting sqref="H42">
    <cfRule type="cellIs" dxfId="89" priority="33" operator="equal">
      <formula>"No Need"</formula>
    </cfRule>
    <cfRule type="cellIs" dxfId="88" priority="32" operator="equal">
      <formula>"Pending"</formula>
    </cfRule>
  </conditionalFormatting>
  <conditionalFormatting sqref="H44:H46 H49 I34:M34">
    <cfRule type="cellIs" dxfId="87" priority="54" operator="equal">
      <formula>"Done"</formula>
    </cfRule>
  </conditionalFormatting>
  <conditionalFormatting sqref="H47:H48">
    <cfRule type="duplicateValues" dxfId="86" priority="69"/>
    <cfRule type="cellIs" dxfId="85" priority="68" operator="equal">
      <formula>"Done"</formula>
    </cfRule>
    <cfRule type="duplicateValues" dxfId="84" priority="67"/>
  </conditionalFormatting>
  <conditionalFormatting sqref="H60:H81">
    <cfRule type="cellIs" dxfId="83" priority="43" operator="equal">
      <formula>"Done"</formula>
    </cfRule>
  </conditionalFormatting>
  <conditionalFormatting sqref="H64:H65">
    <cfRule type="duplicateValues" dxfId="82" priority="71"/>
    <cfRule type="duplicateValues" dxfId="81" priority="70"/>
  </conditionalFormatting>
  <conditionalFormatting sqref="H71">
    <cfRule type="duplicateValues" dxfId="80" priority="74"/>
    <cfRule type="duplicateValues" dxfId="79" priority="73"/>
    <cfRule type="duplicateValues" dxfId="78" priority="72"/>
  </conditionalFormatting>
  <conditionalFormatting sqref="H72">
    <cfRule type="duplicateValues" dxfId="77" priority="77"/>
    <cfRule type="duplicateValues" dxfId="76" priority="76"/>
    <cfRule type="duplicateValues" dxfId="75" priority="75"/>
  </conditionalFormatting>
  <conditionalFormatting sqref="H73 H75:H76">
    <cfRule type="duplicateValues" dxfId="74" priority="79"/>
    <cfRule type="duplicateValues" dxfId="73" priority="80"/>
    <cfRule type="duplicateValues" dxfId="72" priority="78"/>
  </conditionalFormatting>
  <conditionalFormatting sqref="H74">
    <cfRule type="duplicateValues" dxfId="71" priority="83"/>
    <cfRule type="duplicateValues" dxfId="70" priority="82"/>
    <cfRule type="duplicateValues" dxfId="69" priority="81"/>
  </conditionalFormatting>
  <conditionalFormatting sqref="H80 H34 H30:H31 H3:H27 H60:H63 H66:H68">
    <cfRule type="duplicateValues" dxfId="68" priority="84"/>
  </conditionalFormatting>
  <conditionalFormatting sqref="H86">
    <cfRule type="duplicateValues" dxfId="67" priority="25"/>
    <cfRule type="duplicateValues" dxfId="66" priority="26"/>
    <cfRule type="duplicateValues" dxfId="65" priority="27"/>
    <cfRule type="duplicateValues" dxfId="64" priority="29"/>
    <cfRule type="duplicateValues" dxfId="63" priority="28"/>
  </conditionalFormatting>
  <conditionalFormatting sqref="H86:H87">
    <cfRule type="cellIs" dxfId="62" priority="17" operator="equal">
      <formula>"Done"</formula>
    </cfRule>
    <cfRule type="cellIs" dxfId="61" priority="16" operator="equal">
      <formula>"-"</formula>
    </cfRule>
  </conditionalFormatting>
  <conditionalFormatting sqref="H87">
    <cfRule type="duplicateValues" dxfId="60" priority="22"/>
    <cfRule type="duplicateValues" dxfId="59" priority="21"/>
    <cfRule type="duplicateValues" dxfId="58" priority="20"/>
    <cfRule type="duplicateValues" dxfId="57" priority="19"/>
    <cfRule type="duplicateValues" dxfId="56" priority="18"/>
  </conditionalFormatting>
  <conditionalFormatting sqref="H113:H118">
    <cfRule type="duplicateValues" dxfId="55" priority="6"/>
    <cfRule type="duplicateValues" dxfId="54" priority="7"/>
    <cfRule type="duplicateValues" dxfId="53" priority="5"/>
    <cfRule type="duplicateValues" dxfId="52" priority="8"/>
    <cfRule type="duplicateValues" dxfId="51" priority="4"/>
    <cfRule type="cellIs" dxfId="50" priority="3" operator="equal">
      <formula>"Done"</formula>
    </cfRule>
    <cfRule type="cellIs" dxfId="49" priority="2" operator="equal">
      <formula>"-"</formula>
    </cfRule>
  </conditionalFormatting>
  <conditionalFormatting sqref="H114:H118">
    <cfRule type="cellIs" dxfId="48" priority="66" operator="equal">
      <formula>"Done"</formula>
    </cfRule>
  </conditionalFormatting>
  <conditionalFormatting sqref="H85:I85 I119:J128 H3:H41 H60:H63 H44:H46 H49 H66:H70 H77:H81 H88:I88 I89 I113:I118 H108:I112 I107 H90:I106">
    <cfRule type="duplicateValues" dxfId="47" priority="90"/>
  </conditionalFormatting>
  <conditionalFormatting sqref="H85:I85 I119:J1048576 I1:J1 H2:H41 H44:H46 H49:H63 H66:H70 H77:H81 H88:I88 I89 I113:I118 H108:I112 I107 H90:I106">
    <cfRule type="duplicateValues" dxfId="46" priority="91"/>
  </conditionalFormatting>
  <conditionalFormatting sqref="H80:J80">
    <cfRule type="cellIs" dxfId="45" priority="65" operator="equal">
      <formula>"-"</formula>
    </cfRule>
  </conditionalFormatting>
  <conditionalFormatting sqref="H10:M18 H19:I22 H23:M33 H44:H49 H60:H81">
    <cfRule type="cellIs" dxfId="44" priority="42" operator="equal">
      <formula>"-"</formula>
    </cfRule>
  </conditionalFormatting>
  <conditionalFormatting sqref="H10:M18 H19:I33 H80:J80 J23:M33 K68:M81">
    <cfRule type="cellIs" dxfId="43" priority="52" operator="equal">
      <formula>"Done"</formula>
    </cfRule>
  </conditionalFormatting>
  <conditionalFormatting sqref="I1 H2:H106 I119:I1048576 H108:H118">
    <cfRule type="duplicateValues" dxfId="42" priority="1"/>
  </conditionalFormatting>
  <conditionalFormatting sqref="I3:I9 H35:H42">
    <cfRule type="cellIs" dxfId="41" priority="31" operator="equal">
      <formula>"-"</formula>
    </cfRule>
  </conditionalFormatting>
  <conditionalFormatting sqref="I28">
    <cfRule type="cellIs" dxfId="40" priority="60" operator="equal">
      <formula>"Done"</formula>
    </cfRule>
  </conditionalFormatting>
  <conditionalFormatting sqref="I74">
    <cfRule type="cellIs" dxfId="39" priority="38" operator="equal">
      <formula>"Done"</formula>
    </cfRule>
    <cfRule type="cellIs" dxfId="38" priority="39" operator="equal">
      <formula>"-"</formula>
    </cfRule>
  </conditionalFormatting>
  <conditionalFormatting sqref="I78">
    <cfRule type="cellIs" dxfId="37" priority="50" operator="equal">
      <formula>"Done"</formula>
    </cfRule>
    <cfRule type="cellIs" dxfId="36" priority="51" operator="equal">
      <formula>"-"</formula>
    </cfRule>
  </conditionalFormatting>
  <conditionalFormatting sqref="I34:M34">
    <cfRule type="cellIs" dxfId="35" priority="55" operator="equal">
      <formula>"-"</formula>
    </cfRule>
  </conditionalFormatting>
  <conditionalFormatting sqref="J108:J109">
    <cfRule type="cellIs" dxfId="34" priority="15" operator="equal">
      <formula>"Done"</formula>
    </cfRule>
    <cfRule type="cellIs" dxfId="33" priority="14" operator="equal">
      <formula>"-"</formula>
    </cfRule>
  </conditionalFormatting>
  <conditionalFormatting sqref="J112">
    <cfRule type="cellIs" dxfId="32" priority="13" operator="equal">
      <formula>"Done"</formula>
    </cfRule>
    <cfRule type="cellIs" dxfId="31" priority="12" operator="equal">
      <formula>"-"</formula>
    </cfRule>
  </conditionalFormatting>
  <conditionalFormatting sqref="J58:M67">
    <cfRule type="cellIs" dxfId="30" priority="46" operator="equal">
      <formula>"Done"</formula>
    </cfRule>
    <cfRule type="cellIs" dxfId="29" priority="47" operator="equal">
      <formula>"-"</formula>
    </cfRule>
  </conditionalFormatting>
  <conditionalFormatting sqref="K68:M81">
    <cfRule type="cellIs" dxfId="28" priority="53" operator="equal">
      <formula>"-"</formula>
    </cfRule>
  </conditionalFormatting>
  <conditionalFormatting sqref="K86:M87">
    <cfRule type="cellIs" dxfId="27" priority="24" operator="equal">
      <formula>"-"</formula>
    </cfRule>
    <cfRule type="cellIs" dxfId="26" priority="23" operator="equal">
      <formula>"Done"</formula>
    </cfRule>
  </conditionalFormatting>
  <conditionalFormatting sqref="M9">
    <cfRule type="cellIs" dxfId="25" priority="58" operator="equal">
      <formula>"Done"</formula>
    </cfRule>
    <cfRule type="cellIs" dxfId="24" priority="59" operator="equal">
      <formula>"-"</formula>
    </cfRule>
  </conditionalFormatting>
  <conditionalFormatting sqref="M35:M57">
    <cfRule type="cellIs" dxfId="23" priority="41" operator="equal">
      <formula>"-"</formula>
    </cfRule>
    <cfRule type="cellIs" dxfId="22" priority="40" operator="equal">
      <formula>"Done"</formula>
    </cfRule>
  </conditionalFormatting>
  <conditionalFormatting sqref="M79:M80">
    <cfRule type="cellIs" dxfId="21" priority="45" operator="equal">
      <formula>"-"</formula>
    </cfRule>
    <cfRule type="cellIs" dxfId="20" priority="44" operator="equal">
      <formula>"Done"</formula>
    </cfRule>
  </conditionalFormatting>
  <conditionalFormatting sqref="N12:O14 J19:M21 N19:O27 K22:M22 N28 N29:O38">
    <cfRule type="cellIs" dxfId="19" priority="61" operator="equal">
      <formula>"Done"</formula>
    </cfRule>
    <cfRule type="cellIs" dxfId="18" priority="62" operator="equal">
      <formula>"-"</formula>
    </cfRule>
  </conditionalFormatting>
  <conditionalFormatting sqref="N12:O14 N19:O27 N28 N29:O38">
    <cfRule type="cellIs" dxfId="17" priority="63" operator="equal">
      <formula>"Pending"</formula>
    </cfRule>
    <cfRule type="cellIs" dxfId="16" priority="64" operator="equal">
      <formula>"No Need"</formula>
    </cfRule>
  </conditionalFormatting>
  <conditionalFormatting sqref="O39">
    <cfRule type="cellIs" dxfId="15" priority="34" operator="equal">
      <formula>"Done"</formula>
    </cfRule>
    <cfRule type="cellIs" dxfId="14" priority="35" operator="equal">
      <formula>"-"</formula>
    </cfRule>
    <cfRule type="cellIs" dxfId="13" priority="37" operator="equal">
      <formula>"No Need"</formula>
    </cfRule>
    <cfRule type="cellIs" dxfId="12" priority="36" operator="equal">
      <formula>"Pending"</formula>
    </cfRule>
  </conditionalFormatting>
  <conditionalFormatting sqref="P93">
    <cfRule type="duplicateValues" dxfId="11" priority="10"/>
    <cfRule type="duplicateValues" dxfId="10" priority="9"/>
  </conditionalFormatting>
  <conditionalFormatting sqref="P97:P100">
    <cfRule type="duplicateValues" dxfId="9" priority="85"/>
    <cfRule type="duplicateValues" dxfId="8" priority="86"/>
  </conditionalFormatting>
  <conditionalFormatting sqref="Q10:Q11 Q13:Q14 Q19:Q25 Q28:Q33 I50:I52 I54:I57 I59 I61:I67">
    <cfRule type="cellIs" dxfId="7" priority="48" operator="equal">
      <formula>"Done"</formula>
    </cfRule>
    <cfRule type="cellIs" dxfId="6" priority="49" operator="equal">
      <formula>"-"</formula>
    </cfRule>
  </conditionalFormatting>
  <conditionalFormatting sqref="R97:R100">
    <cfRule type="duplicateValues" dxfId="5" priority="87"/>
    <cfRule type="duplicateValues" dxfId="4" priority="88"/>
  </conditionalFormatting>
  <conditionalFormatting sqref="S97">
    <cfRule type="duplicateValues" dxfId="3" priority="11"/>
  </conditionalFormatting>
  <conditionalFormatting sqref="S97:S100">
    <cfRule type="duplicateValues" dxfId="2" priority="89"/>
  </conditionalFormatting>
  <conditionalFormatting sqref="AB3:AC31">
    <cfRule type="cellIs" dxfId="1" priority="56" operator="equal">
      <formula>"Yes"</formula>
    </cfRule>
    <cfRule type="cellIs" dxfId="0" priority="57" operator="equal">
      <formula>"No"</formula>
    </cfRule>
  </conditionalFormatting>
  <pageMargins left="0.7" right="0.7" top="0.75" bottom="0.75" header="0.3" footer="0.3"/>
  <pageSetup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Mustafa</dc:creator>
  <cp:lastModifiedBy>zak saleh</cp:lastModifiedBy>
  <dcterms:created xsi:type="dcterms:W3CDTF">2026-09-09T09:18:19Z</dcterms:created>
  <dcterms:modified xsi:type="dcterms:W3CDTF">2026-09-09T22:30:48Z</dcterms:modified>
</cp:coreProperties>
</file>